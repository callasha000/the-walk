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dblt.sharepoint.com/sites/MODBLT/Shared Documents/00 - MODBLT/00 Project Folders/05-Awarded/25.12.10 - The Walk/09 Staging &amp; Logistics/West Modular/Master Module Matrices/"/>
    </mc:Choice>
  </mc:AlternateContent>
  <xr:revisionPtr revIDLastSave="40" documentId="13_ncr:1_{971DD666-9D54-064B-A9E5-261BE431C957}" xr6:coauthVersionLast="47" xr6:coauthVersionMax="47" xr10:uidLastSave="{98A2D2DE-2640-479A-B406-D37E9184DCDE}"/>
  <bookViews>
    <workbookView xWindow="-120" yWindow="-120" windowWidth="38640" windowHeight="15720" firstSheet="1" activeTab="1" xr2:uid="{00000000-000D-0000-FFFF-FFFF00000000}"/>
  </bookViews>
  <sheets>
    <sheet name="Change Log" sheetId="1" state="hidden" r:id="rId1"/>
    <sheet name="Rev 13, April 6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1" i="2" l="1" a="1"/>
  <c r="AG331" i="2" s="1"/>
  <c r="AH331" i="2" s="1" a="1"/>
  <c r="AH331" i="2" s="1"/>
  <c r="AI331" i="2" s="1" a="1"/>
  <c r="AI331" i="2" s="1"/>
  <c r="W331" i="2" a="1"/>
  <c r="W331" i="2" s="1"/>
  <c r="S331" i="2" a="1"/>
  <c r="S331" i="2" s="1"/>
  <c r="N331" i="2" a="1"/>
  <c r="N331" i="2" s="1"/>
  <c r="L331" i="2" a="1"/>
  <c r="L331" i="2" s="1"/>
  <c r="AG330" i="2" a="1"/>
  <c r="AG330" i="2" s="1"/>
  <c r="AH330" i="2" s="1" a="1"/>
  <c r="AH330" i="2" s="1"/>
  <c r="AI330" i="2" s="1" a="1"/>
  <c r="AI330" i="2" s="1"/>
  <c r="W330" i="2" a="1"/>
  <c r="W330" i="2" s="1"/>
  <c r="S330" i="2" a="1"/>
  <c r="S330" i="2" s="1"/>
  <c r="N330" i="2" a="1"/>
  <c r="N330" i="2" s="1"/>
  <c r="L330" i="2" a="1"/>
  <c r="L330" i="2" s="1"/>
  <c r="AG327" i="2" a="1"/>
  <c r="AG327" i="2" s="1"/>
  <c r="AH327" i="2" s="1" a="1"/>
  <c r="AH327" i="2" s="1"/>
  <c r="AI327" i="2" s="1" a="1"/>
  <c r="AI327" i="2" s="1"/>
  <c r="W327" i="2" a="1"/>
  <c r="W327" i="2" s="1"/>
  <c r="S327" i="2" a="1"/>
  <c r="S327" i="2" s="1"/>
  <c r="N327" i="2" a="1"/>
  <c r="N327" i="2" s="1"/>
  <c r="L327" i="2" a="1"/>
  <c r="L327" i="2" s="1"/>
  <c r="AG326" i="2" a="1"/>
  <c r="AG326" i="2" s="1"/>
  <c r="AH326" i="2" s="1" a="1"/>
  <c r="AH326" i="2" s="1"/>
  <c r="AI326" i="2" s="1" a="1"/>
  <c r="AI326" i="2" s="1"/>
  <c r="W326" i="2" a="1"/>
  <c r="W326" i="2" s="1"/>
  <c r="S326" i="2" a="1"/>
  <c r="S326" i="2" s="1"/>
  <c r="N326" i="2" a="1"/>
  <c r="N326" i="2" s="1"/>
  <c r="L326" i="2" a="1"/>
  <c r="L326" i="2" s="1"/>
  <c r="AG323" i="2" a="1"/>
  <c r="AG323" i="2" s="1"/>
  <c r="AH323" i="2" s="1" a="1"/>
  <c r="AH323" i="2" s="1"/>
  <c r="AI323" i="2" s="1" a="1"/>
  <c r="AI323" i="2" s="1"/>
  <c r="W323" i="2" a="1"/>
  <c r="W323" i="2" s="1"/>
  <c r="S323" i="2" a="1"/>
  <c r="S323" i="2" s="1"/>
  <c r="N323" i="2" a="1"/>
  <c r="N323" i="2" s="1"/>
  <c r="L323" i="2" a="1"/>
  <c r="L323" i="2" s="1"/>
  <c r="AG320" i="2" a="1"/>
  <c r="AG320" i="2" s="1"/>
  <c r="AH320" i="2" s="1" a="1"/>
  <c r="AH320" i="2" s="1"/>
  <c r="AI320" i="2" s="1" a="1"/>
  <c r="AI320" i="2" s="1"/>
  <c r="W320" i="2" a="1"/>
  <c r="W320" i="2" s="1"/>
  <c r="S320" i="2" a="1"/>
  <c r="S320" i="2" s="1"/>
  <c r="N320" i="2" a="1"/>
  <c r="N320" i="2" s="1"/>
  <c r="L320" i="2" a="1"/>
  <c r="L320" i="2" s="1"/>
  <c r="AG317" i="2" a="1"/>
  <c r="AG317" i="2" s="1"/>
  <c r="AH317" i="2" s="1" a="1"/>
  <c r="AH317" i="2" s="1"/>
  <c r="AI317" i="2" s="1" a="1"/>
  <c r="AI317" i="2" s="1"/>
  <c r="W317" i="2" a="1"/>
  <c r="W317" i="2" s="1"/>
  <c r="S317" i="2" a="1"/>
  <c r="S317" i="2" s="1"/>
  <c r="N317" i="2" a="1"/>
  <c r="N317" i="2" s="1"/>
  <c r="L317" i="2" a="1"/>
  <c r="L317" i="2" s="1"/>
  <c r="AG314" i="2" a="1"/>
  <c r="AG314" i="2" s="1"/>
  <c r="AH314" i="2" s="1" a="1"/>
  <c r="AH314" i="2" s="1"/>
  <c r="AI314" i="2" s="1" a="1"/>
  <c r="AI314" i="2" s="1"/>
  <c r="W314" i="2" a="1"/>
  <c r="W314" i="2" s="1"/>
  <c r="S314" i="2" a="1"/>
  <c r="S314" i="2" s="1"/>
  <c r="N314" i="2" a="1"/>
  <c r="N314" i="2" s="1"/>
  <c r="L314" i="2" a="1"/>
  <c r="L314" i="2" s="1"/>
  <c r="AG311" i="2" a="1"/>
  <c r="AG311" i="2" s="1"/>
  <c r="AH311" i="2" s="1" a="1"/>
  <c r="AH311" i="2" s="1"/>
  <c r="AI311" i="2" s="1" a="1"/>
  <c r="AI311" i="2" s="1"/>
  <c r="W311" i="2" a="1"/>
  <c r="W311" i="2" s="1"/>
  <c r="S311" i="2" a="1"/>
  <c r="S311" i="2" s="1"/>
  <c r="N311" i="2" a="1"/>
  <c r="N311" i="2" s="1"/>
  <c r="L311" i="2" a="1"/>
  <c r="L311" i="2" s="1"/>
  <c r="AG308" i="2" a="1"/>
  <c r="AG308" i="2" s="1"/>
  <c r="AH308" i="2" s="1" a="1"/>
  <c r="AH308" i="2" s="1"/>
  <c r="AI308" i="2" s="1" a="1"/>
  <c r="AI308" i="2" s="1"/>
  <c r="W308" i="2" a="1"/>
  <c r="W308" i="2" s="1"/>
  <c r="S308" i="2" a="1"/>
  <c r="S308" i="2" s="1"/>
  <c r="N308" i="2" a="1"/>
  <c r="N308" i="2" s="1"/>
  <c r="L308" i="2" a="1"/>
  <c r="L308" i="2" s="1"/>
  <c r="AG305" i="2" a="1"/>
  <c r="AG305" i="2" s="1"/>
  <c r="AH305" i="2" s="1" a="1"/>
  <c r="AH305" i="2" s="1"/>
  <c r="AI305" i="2" s="1" a="1"/>
  <c r="AI305" i="2" s="1"/>
  <c r="W305" i="2" a="1"/>
  <c r="W305" i="2" s="1"/>
  <c r="S305" i="2" a="1"/>
  <c r="S305" i="2" s="1"/>
  <c r="N305" i="2" a="1"/>
  <c r="N305" i="2" s="1"/>
  <c r="L305" i="2" a="1"/>
  <c r="L305" i="2" s="1"/>
  <c r="AG302" i="2" a="1"/>
  <c r="AG302" i="2" s="1"/>
  <c r="AH302" i="2" s="1" a="1"/>
  <c r="AH302" i="2" s="1"/>
  <c r="AI302" i="2" s="1" a="1"/>
  <c r="AI302" i="2" s="1"/>
  <c r="W302" i="2" a="1"/>
  <c r="W302" i="2" s="1"/>
  <c r="S302" i="2" a="1"/>
  <c r="S302" i="2" s="1"/>
  <c r="N302" i="2" a="1"/>
  <c r="N302" i="2" s="1"/>
  <c r="L302" i="2" a="1"/>
  <c r="L302" i="2" s="1"/>
  <c r="AG299" i="2" a="1"/>
  <c r="AG299" i="2" s="1"/>
  <c r="AH299" i="2" s="1" a="1"/>
  <c r="AH299" i="2" s="1"/>
  <c r="AI299" i="2" s="1" a="1"/>
  <c r="AI299" i="2" s="1"/>
  <c r="W299" i="2" a="1"/>
  <c r="W299" i="2" s="1"/>
  <c r="S299" i="2" a="1"/>
  <c r="S299" i="2" s="1"/>
  <c r="N299" i="2" a="1"/>
  <c r="N299" i="2" s="1"/>
  <c r="L299" i="2" a="1"/>
  <c r="L299" i="2" s="1"/>
  <c r="AG296" i="2" a="1"/>
  <c r="AG296" i="2" s="1"/>
  <c r="AH296" i="2" s="1" a="1"/>
  <c r="AH296" i="2" s="1"/>
  <c r="AI296" i="2" s="1" a="1"/>
  <c r="AI296" i="2" s="1"/>
  <c r="W296" i="2" a="1"/>
  <c r="W296" i="2" s="1"/>
  <c r="S296" i="2" a="1"/>
  <c r="S296" i="2" s="1"/>
  <c r="N296" i="2" a="1"/>
  <c r="N296" i="2" s="1"/>
  <c r="L296" i="2" a="1"/>
  <c r="L296" i="2" s="1"/>
  <c r="AG293" i="2" a="1"/>
  <c r="AG293" i="2" s="1"/>
  <c r="AH293" i="2" s="1" a="1"/>
  <c r="AH293" i="2" s="1"/>
  <c r="AI293" i="2" s="1" a="1"/>
  <c r="AI293" i="2" s="1"/>
  <c r="W293" i="2" a="1"/>
  <c r="W293" i="2" s="1"/>
  <c r="S293" i="2" a="1"/>
  <c r="S293" i="2" s="1"/>
  <c r="N293" i="2" a="1"/>
  <c r="N293" i="2" s="1"/>
  <c r="AG290" i="2" a="1"/>
  <c r="AG290" i="2" s="1"/>
  <c r="AH290" i="2" s="1" a="1"/>
  <c r="AH290" i="2" s="1"/>
  <c r="AI290" i="2" s="1" a="1"/>
  <c r="AI290" i="2" s="1"/>
  <c r="W290" i="2" a="1"/>
  <c r="W290" i="2" s="1"/>
  <c r="S290" i="2" a="1"/>
  <c r="S290" i="2" s="1"/>
  <c r="N290" i="2" a="1"/>
  <c r="N290" i="2" s="1"/>
  <c r="AG287" i="2" a="1"/>
  <c r="AG287" i="2" s="1"/>
  <c r="AH287" i="2" s="1" a="1"/>
  <c r="AH287" i="2" s="1"/>
  <c r="AI287" i="2" s="1" a="1"/>
  <c r="AI287" i="2" s="1"/>
  <c r="W287" i="2" a="1"/>
  <c r="W287" i="2" s="1"/>
  <c r="S287" i="2" a="1"/>
  <c r="S287" i="2" s="1"/>
  <c r="N287" i="2" a="1"/>
  <c r="N287" i="2" s="1"/>
  <c r="AG284" i="2" a="1"/>
  <c r="AG284" i="2" s="1"/>
  <c r="AH284" i="2" s="1" a="1"/>
  <c r="AH284" i="2" s="1"/>
  <c r="AI284" i="2" s="1" a="1"/>
  <c r="AI284" i="2" s="1"/>
  <c r="W284" i="2" a="1"/>
  <c r="W284" i="2" s="1"/>
  <c r="S284" i="2" a="1"/>
  <c r="S284" i="2" s="1"/>
  <c r="N284" i="2" a="1"/>
  <c r="N284" i="2" s="1"/>
  <c r="AG281" i="2" a="1"/>
  <c r="AG281" i="2" s="1"/>
  <c r="AH281" i="2" s="1" a="1"/>
  <c r="AH281" i="2" s="1"/>
  <c r="AI281" i="2" s="1" a="1"/>
  <c r="AI281" i="2" s="1"/>
  <c r="W281" i="2" a="1"/>
  <c r="W281" i="2" s="1"/>
  <c r="S281" i="2" a="1"/>
  <c r="S281" i="2" s="1"/>
  <c r="N281" i="2" a="1"/>
  <c r="N281" i="2" s="1"/>
  <c r="AG278" i="2" a="1"/>
  <c r="AG278" i="2" s="1"/>
  <c r="AH278" i="2" s="1" a="1"/>
  <c r="AH278" i="2" s="1"/>
  <c r="AI278" i="2" s="1" a="1"/>
  <c r="AI278" i="2" s="1"/>
  <c r="W278" i="2" a="1"/>
  <c r="W278" i="2" s="1"/>
  <c r="S278" i="2" a="1"/>
  <c r="S278" i="2" s="1"/>
  <c r="N278" i="2" a="1"/>
  <c r="N278" i="2" s="1"/>
  <c r="AG275" i="2" a="1"/>
  <c r="AG275" i="2" s="1"/>
  <c r="AH275" i="2" s="1" a="1"/>
  <c r="AH275" i="2" s="1"/>
  <c r="AI275" i="2" s="1" a="1"/>
  <c r="AI275" i="2" s="1"/>
  <c r="W275" i="2" a="1"/>
  <c r="W275" i="2" s="1"/>
  <c r="S275" i="2" a="1"/>
  <c r="S275" i="2" s="1"/>
  <c r="N275" i="2" a="1"/>
  <c r="N275" i="2" s="1"/>
  <c r="AG270" i="2" a="1"/>
  <c r="AG270" i="2" s="1"/>
  <c r="AH270" i="2" s="1" a="1"/>
  <c r="AH270" i="2" s="1"/>
  <c r="AI270" i="2" s="1" a="1"/>
  <c r="AI270" i="2" s="1"/>
  <c r="W270" i="2" a="1"/>
  <c r="W270" i="2" s="1"/>
  <c r="S270" i="2" a="1"/>
  <c r="S270" i="2" s="1"/>
  <c r="N270" i="2" a="1"/>
  <c r="N270" i="2" s="1"/>
  <c r="AG267" i="2" a="1"/>
  <c r="AG267" i="2" s="1"/>
  <c r="AH267" i="2" s="1" a="1"/>
  <c r="AH267" i="2" s="1"/>
  <c r="AI267" i="2" s="1" a="1"/>
  <c r="AI267" i="2" s="1"/>
  <c r="W267" i="2" a="1"/>
  <c r="W267" i="2" s="1"/>
  <c r="S267" i="2" a="1"/>
  <c r="S267" i="2" s="1"/>
  <c r="N267" i="2" a="1"/>
  <c r="N267" i="2" s="1"/>
  <c r="AG264" i="2" a="1"/>
  <c r="AG264" i="2" s="1"/>
  <c r="AH264" i="2" s="1" a="1"/>
  <c r="AH264" i="2" s="1"/>
  <c r="AI264" i="2" s="1" a="1"/>
  <c r="AI264" i="2" s="1"/>
  <c r="W264" i="2" a="1"/>
  <c r="W264" i="2" s="1"/>
  <c r="S264" i="2" a="1"/>
  <c r="S264" i="2" s="1"/>
  <c r="N264" i="2" a="1"/>
  <c r="N264" i="2" s="1"/>
  <c r="AG261" i="2" a="1"/>
  <c r="AG261" i="2" s="1"/>
  <c r="AH261" i="2" s="1" a="1"/>
  <c r="AH261" i="2" s="1"/>
  <c r="AI261" i="2" s="1" a="1"/>
  <c r="AI261" i="2" s="1"/>
  <c r="W261" i="2" a="1"/>
  <c r="W261" i="2" s="1"/>
  <c r="S261" i="2" a="1"/>
  <c r="S261" i="2" s="1"/>
  <c r="N261" i="2" a="1"/>
  <c r="N261" i="2" s="1"/>
  <c r="AG258" i="2" a="1"/>
  <c r="AG258" i="2" s="1"/>
  <c r="AH258" i="2" s="1" a="1"/>
  <c r="AH258" i="2" s="1"/>
  <c r="AI258" i="2" s="1" a="1"/>
  <c r="AI258" i="2" s="1"/>
  <c r="W258" i="2" a="1"/>
  <c r="W258" i="2" s="1"/>
  <c r="S258" i="2" a="1"/>
  <c r="S258" i="2" s="1"/>
  <c r="N258" i="2" a="1"/>
  <c r="N258" i="2" s="1"/>
  <c r="AG255" i="2" a="1"/>
  <c r="AG255" i="2" s="1"/>
  <c r="AH255" i="2" s="1" a="1"/>
  <c r="AH255" i="2" s="1"/>
  <c r="AI255" i="2" s="1" a="1"/>
  <c r="AI255" i="2" s="1"/>
  <c r="W255" i="2" a="1"/>
  <c r="W255" i="2" s="1"/>
  <c r="S255" i="2" a="1"/>
  <c r="S255" i="2" s="1"/>
  <c r="N255" i="2" a="1"/>
  <c r="N255" i="2" s="1"/>
  <c r="AG252" i="2" a="1"/>
  <c r="AG252" i="2" s="1"/>
  <c r="AH252" i="2" s="1" a="1"/>
  <c r="AH252" i="2" s="1"/>
  <c r="AI252" i="2" s="1" a="1"/>
  <c r="AI252" i="2" s="1"/>
  <c r="W252" i="2" a="1"/>
  <c r="W252" i="2" s="1"/>
  <c r="S252" i="2" a="1"/>
  <c r="S252" i="2" s="1"/>
  <c r="N252" i="2" a="1"/>
  <c r="N252" i="2" s="1"/>
  <c r="AG251" i="2" a="1"/>
  <c r="AG251" i="2" s="1"/>
  <c r="AH251" i="2" s="1" a="1"/>
  <c r="AH251" i="2" s="1"/>
  <c r="AI251" i="2" s="1" a="1"/>
  <c r="AI251" i="2" s="1"/>
  <c r="W251" i="2" a="1"/>
  <c r="W251" i="2" s="1"/>
  <c r="S251" i="2" a="1"/>
  <c r="S251" i="2" s="1"/>
  <c r="N251" i="2" a="1"/>
  <c r="N251" i="2" s="1"/>
  <c r="L251" i="2" a="1"/>
  <c r="L251" i="2" s="1"/>
  <c r="AG248" i="2" a="1"/>
  <c r="AG248" i="2" s="1"/>
  <c r="AH248" i="2" s="1" a="1"/>
  <c r="AH248" i="2" s="1"/>
  <c r="AI248" i="2" s="1" a="1"/>
  <c r="AI248" i="2" s="1"/>
  <c r="W248" i="2" a="1"/>
  <c r="W248" i="2" s="1"/>
  <c r="S248" i="2" a="1"/>
  <c r="S248" i="2" s="1"/>
  <c r="AG245" i="2" a="1"/>
  <c r="AG245" i="2" s="1"/>
  <c r="AH245" i="2" s="1" a="1"/>
  <c r="AH245" i="2" s="1"/>
  <c r="AI245" i="2" s="1" a="1"/>
  <c r="AI245" i="2" s="1"/>
  <c r="W245" i="2" a="1"/>
  <c r="W245" i="2" s="1"/>
  <c r="S245" i="2" a="1"/>
  <c r="S245" i="2" s="1"/>
  <c r="AG242" i="2" a="1"/>
  <c r="AG242" i="2" s="1"/>
  <c r="AH242" i="2" s="1" a="1"/>
  <c r="AH242" i="2" s="1"/>
  <c r="AI242" i="2" s="1" a="1"/>
  <c r="AI242" i="2" s="1"/>
  <c r="W242" i="2" a="1"/>
  <c r="W242" i="2" s="1"/>
  <c r="S242" i="2" a="1"/>
  <c r="S242" i="2" s="1"/>
  <c r="AG239" i="2" a="1"/>
  <c r="AG239" i="2" s="1"/>
  <c r="AH239" i="2" s="1" a="1"/>
  <c r="AH239" i="2" s="1"/>
  <c r="AI239" i="2" s="1" a="1"/>
  <c r="AI239" i="2" s="1"/>
  <c r="W239" i="2" a="1"/>
  <c r="W239" i="2" s="1"/>
  <c r="S239" i="2" a="1"/>
  <c r="S239" i="2" s="1"/>
  <c r="AG235" i="2" a="1"/>
  <c r="AG235" i="2" s="1"/>
  <c r="AH235" i="2" s="1" a="1"/>
  <c r="AH235" i="2" s="1"/>
  <c r="AI235" i="2" s="1" a="1"/>
  <c r="AI235" i="2" s="1"/>
  <c r="W235" i="2" a="1"/>
  <c r="W235" i="2" s="1"/>
  <c r="S235" i="2" a="1"/>
  <c r="S235" i="2" s="1"/>
  <c r="AG232" i="2" a="1"/>
  <c r="AG232" i="2" s="1"/>
  <c r="AH232" i="2" s="1" a="1"/>
  <c r="AH232" i="2" s="1"/>
  <c r="AI232" i="2" s="1" a="1"/>
  <c r="AI232" i="2" s="1"/>
  <c r="W232" i="2" a="1"/>
  <c r="W232" i="2" s="1"/>
  <c r="S232" i="2" a="1"/>
  <c r="S232" i="2" s="1"/>
  <c r="N232" i="2" a="1"/>
  <c r="N232" i="2" s="1"/>
  <c r="AG229" i="2" a="1"/>
  <c r="AG229" i="2" s="1"/>
  <c r="AH229" i="2" s="1" a="1"/>
  <c r="AH229" i="2" s="1"/>
  <c r="AI229" i="2" s="1" a="1"/>
  <c r="AI229" i="2" s="1"/>
  <c r="W229" i="2" a="1"/>
  <c r="W229" i="2" s="1"/>
  <c r="S229" i="2" a="1"/>
  <c r="S229" i="2" s="1"/>
  <c r="N229" i="2" a="1"/>
  <c r="N229" i="2" s="1"/>
  <c r="L229" i="2" a="1"/>
  <c r="L229" i="2" s="1"/>
  <c r="AG227" i="2" a="1"/>
  <c r="AG227" i="2" s="1"/>
  <c r="AH227" i="2" s="1" a="1"/>
  <c r="AH227" i="2" s="1"/>
  <c r="AI227" i="2" s="1" a="1"/>
  <c r="AI227" i="2" s="1"/>
  <c r="W227" i="2" a="1"/>
  <c r="W227" i="2" s="1"/>
  <c r="S227" i="2" a="1"/>
  <c r="S227" i="2" s="1"/>
  <c r="N227" i="2" a="1"/>
  <c r="N227" i="2" s="1"/>
  <c r="L227" i="2" a="1"/>
  <c r="L227" i="2" s="1"/>
  <c r="AG224" i="2" a="1"/>
  <c r="AG224" i="2" s="1"/>
  <c r="AH224" i="2" s="1" a="1"/>
  <c r="AH224" i="2" s="1"/>
  <c r="AI224" i="2" s="1" a="1"/>
  <c r="AI224" i="2" s="1"/>
  <c r="W224" i="2" a="1"/>
  <c r="W224" i="2" s="1"/>
  <c r="S224" i="2" a="1"/>
  <c r="S224" i="2" s="1"/>
  <c r="N224" i="2" a="1"/>
  <c r="N224" i="2" s="1"/>
  <c r="L224" i="2" a="1"/>
  <c r="L224" i="2" s="1"/>
  <c r="AG221" i="2" a="1"/>
  <c r="AG221" i="2" s="1"/>
  <c r="AH221" i="2" s="1" a="1"/>
  <c r="AH221" i="2" s="1"/>
  <c r="AI221" i="2" s="1" a="1"/>
  <c r="AI221" i="2" s="1"/>
  <c r="W221" i="2" a="1"/>
  <c r="W221" i="2" s="1"/>
  <c r="S221" i="2" a="1"/>
  <c r="S221" i="2" s="1"/>
  <c r="N221" i="2" a="1"/>
  <c r="N221" i="2" s="1"/>
  <c r="L221" i="2" a="1"/>
  <c r="L221" i="2" s="1"/>
  <c r="AG218" i="2" a="1"/>
  <c r="AG218" i="2" s="1"/>
  <c r="AH218" i="2" s="1" a="1"/>
  <c r="AH218" i="2" s="1"/>
  <c r="AI218" i="2" s="1" a="1"/>
  <c r="AI218" i="2" s="1"/>
  <c r="W218" i="2" a="1"/>
  <c r="W218" i="2" s="1"/>
  <c r="S218" i="2" a="1"/>
  <c r="S218" i="2" s="1"/>
  <c r="N218" i="2" a="1"/>
  <c r="N218" i="2" s="1"/>
  <c r="L218" i="2" a="1"/>
  <c r="L218" i="2" s="1"/>
  <c r="AG215" i="2" a="1"/>
  <c r="AG215" i="2" s="1"/>
  <c r="AH215" i="2" s="1" a="1"/>
  <c r="AH215" i="2" s="1"/>
  <c r="AI215" i="2" s="1" a="1"/>
  <c r="AI215" i="2" s="1"/>
  <c r="W215" i="2" a="1"/>
  <c r="W215" i="2" s="1"/>
  <c r="S215" i="2" a="1"/>
  <c r="S215" i="2"/>
  <c r="N215" i="2" a="1"/>
  <c r="N215" i="2" s="1"/>
  <c r="L215" i="2" a="1"/>
  <c r="L215" i="2" s="1"/>
  <c r="AG212" i="2" a="1"/>
  <c r="AG212" i="2" s="1"/>
  <c r="AH212" i="2" s="1" a="1"/>
  <c r="AH212" i="2" s="1"/>
  <c r="AI212" i="2" s="1" a="1"/>
  <c r="AI212" i="2" s="1"/>
  <c r="W212" i="2" a="1"/>
  <c r="W212" i="2" s="1"/>
  <c r="S212" i="2" a="1"/>
  <c r="S212" i="2" s="1"/>
  <c r="N212" i="2" a="1"/>
  <c r="N212" i="2" s="1"/>
  <c r="L212" i="2" a="1"/>
  <c r="L212" i="2" s="1"/>
  <c r="AG209" i="2" a="1"/>
  <c r="AG209" i="2" s="1"/>
  <c r="AH209" i="2" s="1" a="1"/>
  <c r="AH209" i="2" s="1"/>
  <c r="AI209" i="2" s="1" a="1"/>
  <c r="AI209" i="2" s="1"/>
  <c r="W209" i="2" a="1"/>
  <c r="W209" i="2" s="1"/>
  <c r="S209" i="2" a="1"/>
  <c r="S209" i="2" s="1"/>
  <c r="N209" i="2" a="1"/>
  <c r="N209" i="2" s="1"/>
  <c r="L209" i="2" a="1"/>
  <c r="L209" i="2" s="1"/>
  <c r="AG206" i="2" a="1"/>
  <c r="AG206" i="2" s="1"/>
  <c r="AH206" i="2" s="1" a="1"/>
  <c r="AH206" i="2" s="1"/>
  <c r="AI206" i="2" s="1" a="1"/>
  <c r="AI206" i="2" s="1"/>
  <c r="W206" i="2" a="1"/>
  <c r="W206" i="2" s="1"/>
  <c r="S206" i="2" a="1"/>
  <c r="S206" i="2" s="1"/>
  <c r="AG205" i="2" a="1"/>
  <c r="AG205" i="2" s="1"/>
  <c r="AH205" i="2" s="1" a="1"/>
  <c r="AH205" i="2" s="1"/>
  <c r="AI205" i="2" s="1" a="1"/>
  <c r="AI205" i="2" s="1"/>
  <c r="W205" i="2" a="1"/>
  <c r="W205" i="2" s="1"/>
  <c r="S205" i="2" a="1"/>
  <c r="S205" i="2" s="1"/>
  <c r="AG203" i="2" a="1"/>
  <c r="AG203" i="2" s="1"/>
  <c r="AH203" i="2" s="1" a="1"/>
  <c r="AH203" i="2" s="1"/>
  <c r="AI203" i="2" s="1" a="1"/>
  <c r="AI203" i="2" s="1"/>
  <c r="W203" i="2" a="1"/>
  <c r="W203" i="2" s="1"/>
  <c r="S203" i="2" a="1"/>
  <c r="S203" i="2" s="1"/>
  <c r="AG200" i="2" a="1"/>
  <c r="AG200" i="2" s="1"/>
  <c r="AH200" i="2" s="1" a="1"/>
  <c r="AH200" i="2" s="1"/>
  <c r="AI200" i="2" s="1" a="1"/>
  <c r="AI200" i="2" s="1"/>
  <c r="W200" i="2" a="1"/>
  <c r="W200" i="2" s="1"/>
  <c r="S200" i="2" a="1"/>
  <c r="S200" i="2" s="1"/>
  <c r="AG198" i="2" a="1"/>
  <c r="AG198" i="2" s="1"/>
  <c r="AH198" i="2" s="1" a="1"/>
  <c r="AH198" i="2" s="1"/>
  <c r="AI198" i="2" s="1" a="1"/>
  <c r="AI198" i="2" s="1"/>
  <c r="W198" i="2" a="1"/>
  <c r="W198" i="2" s="1"/>
  <c r="S198" i="2" a="1"/>
  <c r="S198" i="2" s="1"/>
  <c r="AG195" i="2" a="1"/>
  <c r="AG195" i="2" s="1"/>
  <c r="AH195" i="2" s="1" a="1"/>
  <c r="AH195" i="2" s="1"/>
  <c r="AI195" i="2" s="1" a="1"/>
  <c r="AI195" i="2" s="1"/>
  <c r="W195" i="2" a="1"/>
  <c r="W195" i="2" s="1"/>
  <c r="S195" i="2" a="1"/>
  <c r="S195" i="2" s="1"/>
  <c r="N195" i="2" a="1"/>
  <c r="N195" i="2" s="1"/>
  <c r="AG192" i="2" a="1"/>
  <c r="AG192" i="2" s="1"/>
  <c r="AH192" i="2" s="1" a="1"/>
  <c r="AH192" i="2" s="1"/>
  <c r="AI192" i="2" s="1" a="1"/>
  <c r="AI192" i="2" s="1"/>
  <c r="W192" i="2" a="1"/>
  <c r="W192" i="2" s="1"/>
  <c r="S192" i="2" a="1"/>
  <c r="S192" i="2" s="1"/>
  <c r="N192" i="2" a="1"/>
  <c r="N192" i="2" s="1"/>
  <c r="L192" i="2" a="1"/>
  <c r="L192" i="2" s="1"/>
  <c r="AG189" i="2" a="1"/>
  <c r="AG189" i="2" s="1"/>
  <c r="AH189" i="2" s="1" a="1"/>
  <c r="AH189" i="2" s="1"/>
  <c r="AI189" i="2" s="1" a="1"/>
  <c r="AI189" i="2" s="1"/>
  <c r="W189" i="2" a="1"/>
  <c r="W189" i="2" s="1"/>
  <c r="S189" i="2" a="1"/>
  <c r="S189" i="2" s="1"/>
  <c r="AG186" i="2" a="1"/>
  <c r="AG186" i="2" s="1"/>
  <c r="AH186" i="2" s="1" a="1"/>
  <c r="AH186" i="2" s="1"/>
  <c r="AI186" i="2" s="1" a="1"/>
  <c r="AI186" i="2" s="1"/>
  <c r="W186" i="2" a="1"/>
  <c r="W186" i="2" s="1"/>
  <c r="S186" i="2" a="1"/>
  <c r="S186" i="2" s="1"/>
  <c r="AG183" i="2" a="1"/>
  <c r="AG183" i="2" s="1"/>
  <c r="AH183" i="2" s="1" a="1"/>
  <c r="AH183" i="2" s="1"/>
  <c r="AI183" i="2" s="1" a="1"/>
  <c r="AI183" i="2" s="1"/>
  <c r="W183" i="2" a="1"/>
  <c r="W183" i="2" s="1"/>
  <c r="S183" i="2" a="1"/>
  <c r="S183" i="2" s="1"/>
  <c r="AG181" i="2" a="1"/>
  <c r="AG181" i="2" s="1"/>
  <c r="AH181" i="2" s="1" a="1"/>
  <c r="AH181" i="2" s="1"/>
  <c r="AI181" i="2" s="1" a="1"/>
  <c r="AI181" i="2" s="1"/>
  <c r="W181" i="2" a="1"/>
  <c r="W181" i="2" s="1"/>
  <c r="S181" i="2" a="1"/>
  <c r="S181" i="2" s="1"/>
  <c r="AG179" i="2" a="1"/>
  <c r="AG179" i="2" s="1"/>
  <c r="AH179" i="2" s="1" a="1"/>
  <c r="AH179" i="2" s="1"/>
  <c r="AI179" i="2" s="1" a="1"/>
  <c r="AI179" i="2" s="1"/>
  <c r="W179" i="2" a="1"/>
  <c r="W179" i="2" s="1"/>
  <c r="S179" i="2" a="1"/>
  <c r="S179" i="2" s="1"/>
  <c r="AG177" i="2" a="1"/>
  <c r="AG177" i="2" s="1"/>
  <c r="AH177" i="2" s="1" a="1"/>
  <c r="AH177" i="2" s="1"/>
  <c r="AI177" i="2" s="1" a="1"/>
  <c r="AI177" i="2" s="1"/>
  <c r="W177" i="2" a="1"/>
  <c r="W177" i="2" s="1"/>
  <c r="S177" i="2" a="1"/>
  <c r="S177" i="2" s="1"/>
  <c r="N177" i="2" a="1"/>
  <c r="N177" i="2" s="1"/>
  <c r="AG175" i="2" a="1"/>
  <c r="AG175" i="2" s="1"/>
  <c r="AH175" i="2" s="1" a="1"/>
  <c r="AH175" i="2" s="1"/>
  <c r="AI175" i="2" s="1" a="1"/>
  <c r="AI175" i="2" s="1"/>
  <c r="W175" i="2" a="1"/>
  <c r="W175" i="2" s="1"/>
  <c r="S175" i="2" a="1"/>
  <c r="S175" i="2" s="1"/>
  <c r="N175" i="2" a="1"/>
  <c r="N175" i="2" s="1"/>
  <c r="AG173" i="2" a="1"/>
  <c r="AG173" i="2" s="1"/>
  <c r="AH173" i="2" s="1" a="1"/>
  <c r="AH173" i="2" s="1"/>
  <c r="AI173" i="2" s="1" a="1"/>
  <c r="AI173" i="2" s="1"/>
  <c r="W173" i="2" a="1"/>
  <c r="W173" i="2" s="1"/>
  <c r="S173" i="2" a="1"/>
  <c r="S173" i="2" s="1"/>
  <c r="N173" i="2" a="1"/>
  <c r="N173" i="2" s="1"/>
  <c r="AG171" i="2" a="1"/>
  <c r="AG171" i="2" s="1"/>
  <c r="AH171" i="2" s="1" a="1"/>
  <c r="AH171" i="2" s="1"/>
  <c r="AI171" i="2" s="1" a="1"/>
  <c r="AI171" i="2" s="1"/>
  <c r="W171" i="2" a="1"/>
  <c r="W171" i="2" s="1"/>
  <c r="S171" i="2" a="1"/>
  <c r="S171" i="2" s="1"/>
  <c r="N171" i="2" a="1"/>
  <c r="N171" i="2" s="1"/>
  <c r="L171" i="2" a="1"/>
  <c r="L171" i="2" s="1"/>
  <c r="AG167" i="2" a="1"/>
  <c r="AG167" i="2" s="1"/>
  <c r="AH167" i="2" s="1" a="1"/>
  <c r="AH167" i="2" s="1"/>
  <c r="AI167" i="2" s="1" a="1"/>
  <c r="AI167" i="2" s="1"/>
  <c r="W167" i="2" a="1"/>
  <c r="W167" i="2" s="1"/>
  <c r="S167" i="2" a="1"/>
  <c r="S167" i="2" s="1"/>
  <c r="N167" i="2" a="1"/>
  <c r="N167" i="2" s="1"/>
  <c r="AG163" i="2" a="1"/>
  <c r="AG163" i="2" s="1"/>
  <c r="AH163" i="2" s="1" a="1"/>
  <c r="AH163" i="2" s="1"/>
  <c r="AI163" i="2" s="1" a="1"/>
  <c r="AI163" i="2" s="1"/>
  <c r="W163" i="2" a="1"/>
  <c r="W163" i="2" s="1"/>
  <c r="S163" i="2" a="1"/>
  <c r="S163" i="2" s="1"/>
  <c r="N163" i="2" a="1"/>
  <c r="N163" i="2" s="1"/>
  <c r="AG159" i="2" a="1"/>
  <c r="AG159" i="2" s="1"/>
  <c r="AH159" i="2" s="1" a="1"/>
  <c r="AH159" i="2" s="1"/>
  <c r="AI159" i="2" s="1" a="1"/>
  <c r="AI159" i="2" s="1"/>
  <c r="W159" i="2" a="1"/>
  <c r="W159" i="2" s="1"/>
  <c r="S159" i="2" a="1"/>
  <c r="S159" i="2" s="1"/>
  <c r="N159" i="2" a="1"/>
  <c r="N159" i="2" s="1"/>
  <c r="AG155" i="2" a="1"/>
  <c r="AG155" i="2" s="1"/>
  <c r="AH155" i="2" s="1" a="1"/>
  <c r="AH155" i="2" s="1"/>
  <c r="AI155" i="2" s="1" a="1"/>
  <c r="AI155" i="2" s="1"/>
  <c r="W155" i="2" a="1"/>
  <c r="W155" i="2" s="1"/>
  <c r="S155" i="2" a="1"/>
  <c r="S155" i="2" s="1"/>
  <c r="N155" i="2" a="1"/>
  <c r="N155" i="2" s="1"/>
  <c r="AG152" i="2" a="1"/>
  <c r="AG152" i="2" s="1"/>
  <c r="AH152" i="2" s="1" a="1"/>
  <c r="AH152" i="2" s="1"/>
  <c r="AI152" i="2" s="1" a="1"/>
  <c r="AI152" i="2" s="1"/>
  <c r="W152" i="2" a="1"/>
  <c r="W152" i="2" s="1"/>
  <c r="S152" i="2" a="1"/>
  <c r="S152" i="2" s="1"/>
  <c r="N152" i="2" a="1"/>
  <c r="N152" i="2" s="1"/>
  <c r="AG150" i="2" a="1"/>
  <c r="AG150" i="2" s="1"/>
  <c r="AH150" i="2" s="1" a="1"/>
  <c r="AH150" i="2" s="1"/>
  <c r="AI150" i="2" s="1" a="1"/>
  <c r="AI150" i="2" s="1"/>
  <c r="W150" i="2" a="1"/>
  <c r="W150" i="2" s="1"/>
  <c r="S150" i="2" a="1"/>
  <c r="S150" i="2" s="1"/>
  <c r="N150" i="2" a="1"/>
  <c r="N150" i="2" s="1"/>
  <c r="AG149" i="2" a="1"/>
  <c r="AG149" i="2" s="1"/>
  <c r="AH149" i="2" s="1" a="1"/>
  <c r="AH149" i="2" s="1"/>
  <c r="AI149" i="2" s="1" a="1"/>
  <c r="AI149" i="2" s="1"/>
  <c r="W149" i="2" a="1"/>
  <c r="W149" i="2" s="1"/>
  <c r="S149" i="2" a="1"/>
  <c r="S149" i="2" s="1"/>
  <c r="N149" i="2" a="1"/>
  <c r="N149" i="2" s="1"/>
  <c r="L149" i="2" a="1"/>
  <c r="L149" i="2" s="1"/>
  <c r="AG148" i="2" a="1"/>
  <c r="AG148" i="2" s="1"/>
  <c r="AH148" i="2" s="1" a="1"/>
  <c r="AH148" i="2" s="1"/>
  <c r="AI148" i="2" s="1" a="1"/>
  <c r="AI148" i="2" s="1"/>
  <c r="W148" i="2" a="1"/>
  <c r="W148" i="2" s="1"/>
  <c r="S148" i="2" a="1"/>
  <c r="S148" i="2" s="1"/>
  <c r="N148" i="2" a="1"/>
  <c r="N148" i="2" s="1"/>
  <c r="AG145" i="2" a="1"/>
  <c r="AG145" i="2" s="1"/>
  <c r="AH145" i="2" s="1" a="1"/>
  <c r="AH145" i="2" s="1"/>
  <c r="AI145" i="2" s="1" a="1"/>
  <c r="AI145" i="2" s="1"/>
  <c r="W145" i="2" a="1"/>
  <c r="W145" i="2" s="1"/>
  <c r="S145" i="2" a="1"/>
  <c r="S145" i="2" s="1"/>
  <c r="N145" i="2" a="1"/>
  <c r="N145" i="2" s="1"/>
  <c r="AG142" i="2" a="1"/>
  <c r="AG142" i="2" s="1"/>
  <c r="AH142" i="2" s="1" a="1"/>
  <c r="AH142" i="2" s="1"/>
  <c r="AI142" i="2" s="1" a="1"/>
  <c r="AI142" i="2" s="1"/>
  <c r="W142" i="2" a="1"/>
  <c r="W142" i="2" s="1"/>
  <c r="S142" i="2" a="1"/>
  <c r="S142" i="2" s="1"/>
  <c r="N142" i="2" a="1"/>
  <c r="N142" i="2" s="1"/>
  <c r="AG139" i="2" a="1"/>
  <c r="AG139" i="2" s="1"/>
  <c r="AH139" i="2" s="1" a="1"/>
  <c r="AH139" i="2" s="1"/>
  <c r="AI139" i="2" s="1" a="1"/>
  <c r="AI139" i="2" s="1"/>
  <c r="W139" i="2" a="1"/>
  <c r="W139" i="2" s="1"/>
  <c r="S139" i="2" a="1"/>
  <c r="S139" i="2" s="1"/>
  <c r="N139" i="2" a="1"/>
  <c r="N139" i="2" s="1"/>
  <c r="AG136" i="2" a="1"/>
  <c r="AG136" i="2" s="1"/>
  <c r="AH136" i="2" s="1" a="1"/>
  <c r="AH136" i="2" s="1"/>
  <c r="AI136" i="2" s="1" a="1"/>
  <c r="AI136" i="2" s="1"/>
  <c r="W136" i="2" a="1"/>
  <c r="W136" i="2"/>
  <c r="S136" i="2" a="1"/>
  <c r="S136" i="2" s="1"/>
  <c r="N136" i="2" a="1"/>
  <c r="N136" i="2" s="1"/>
  <c r="L136" i="2" a="1"/>
  <c r="L136" i="2" s="1"/>
  <c r="AG133" i="2" a="1"/>
  <c r="AG133" i="2" s="1"/>
  <c r="AH133" i="2" s="1" a="1"/>
  <c r="AH133" i="2" s="1"/>
  <c r="AI133" i="2" s="1" a="1"/>
  <c r="AI133" i="2" s="1"/>
  <c r="W133" i="2" a="1"/>
  <c r="W133" i="2" s="1"/>
  <c r="S133" i="2" a="1"/>
  <c r="S133" i="2" s="1"/>
  <c r="N133" i="2" a="1"/>
  <c r="N133" i="2" s="1"/>
  <c r="L133" i="2" a="1"/>
  <c r="L133" i="2" s="1"/>
  <c r="AG130" i="2" a="1"/>
  <c r="AG130" i="2" s="1"/>
  <c r="AH130" i="2" s="1" a="1"/>
  <c r="AH130" i="2" s="1"/>
  <c r="AI130" i="2" s="1" a="1"/>
  <c r="AI130" i="2" s="1"/>
  <c r="W130" i="2" a="1"/>
  <c r="W130" i="2" s="1"/>
  <c r="S130" i="2" a="1"/>
  <c r="S130" i="2" s="1"/>
  <c r="N130" i="2" a="1"/>
  <c r="N130" i="2" s="1"/>
  <c r="L130" i="2" a="1"/>
  <c r="L130" i="2" s="1"/>
  <c r="AG127" i="2" a="1"/>
  <c r="AG127" i="2" s="1"/>
  <c r="AH127" i="2" s="1" a="1"/>
  <c r="AH127" i="2" s="1"/>
  <c r="AI127" i="2" s="1" a="1"/>
  <c r="AI127" i="2" s="1"/>
  <c r="W127" i="2" a="1"/>
  <c r="W127" i="2" s="1"/>
  <c r="S127" i="2" a="1"/>
  <c r="S127" i="2" s="1"/>
  <c r="N127" i="2" a="1"/>
  <c r="N127" i="2" s="1"/>
  <c r="L127" i="2" a="1"/>
  <c r="L127" i="2" s="1"/>
  <c r="AG124" i="2" a="1"/>
  <c r="AG124" i="2" s="1"/>
  <c r="AH124" i="2" s="1" a="1"/>
  <c r="AH124" i="2" s="1"/>
  <c r="AI124" i="2" s="1" a="1"/>
  <c r="AI124" i="2" s="1"/>
  <c r="W124" i="2" a="1"/>
  <c r="W124" i="2" s="1"/>
  <c r="S124" i="2" a="1"/>
  <c r="S124" i="2" s="1"/>
  <c r="N124" i="2" a="1"/>
  <c r="N124" i="2" s="1"/>
  <c r="L124" i="2" a="1"/>
  <c r="L124" i="2" s="1"/>
  <c r="AG121" i="2" a="1"/>
  <c r="AG121" i="2" s="1"/>
  <c r="AH121" i="2" s="1" a="1"/>
  <c r="AH121" i="2" s="1"/>
  <c r="AI121" i="2" s="1" a="1"/>
  <c r="AI121" i="2" s="1"/>
  <c r="W121" i="2" a="1"/>
  <c r="W121" i="2" s="1"/>
  <c r="S121" i="2" a="1"/>
  <c r="S121" i="2" s="1"/>
  <c r="N121" i="2" a="1"/>
  <c r="N121" i="2" s="1"/>
  <c r="L121" i="2" a="1"/>
  <c r="L121" i="2" s="1"/>
  <c r="AG118" i="2" a="1"/>
  <c r="AG118" i="2" s="1"/>
  <c r="AH118" i="2" s="1" a="1"/>
  <c r="AH118" i="2" s="1"/>
  <c r="AI118" i="2" s="1" a="1"/>
  <c r="AI118" i="2" s="1"/>
  <c r="W118" i="2" a="1"/>
  <c r="W118" i="2" s="1"/>
  <c r="S118" i="2" a="1"/>
  <c r="S118" i="2" s="1"/>
  <c r="N118" i="2" a="1"/>
  <c r="N118" i="2" s="1"/>
  <c r="L118" i="2" a="1"/>
  <c r="L118" i="2" s="1"/>
  <c r="AG116" i="2" a="1"/>
  <c r="AG116" i="2" s="1"/>
  <c r="AH116" i="2" s="1" a="1"/>
  <c r="AH116" i="2" s="1"/>
  <c r="AI116" i="2" s="1" a="1"/>
  <c r="AI116" i="2" s="1"/>
  <c r="W116" i="2" a="1"/>
  <c r="W116" i="2" s="1"/>
  <c r="S116" i="2" a="1"/>
  <c r="S116" i="2" s="1"/>
  <c r="N116" i="2" a="1"/>
  <c r="N116" i="2" s="1"/>
  <c r="L116" i="2" a="1"/>
  <c r="L116" i="2" s="1"/>
  <c r="AG114" i="2" a="1"/>
  <c r="AG114" i="2" s="1"/>
  <c r="AH114" i="2" s="1" a="1"/>
  <c r="AH114" i="2" s="1"/>
  <c r="AI114" i="2" s="1" a="1"/>
  <c r="AI114" i="2" s="1"/>
  <c r="W114" i="2" a="1"/>
  <c r="W114" i="2" s="1"/>
  <c r="S114" i="2" a="1"/>
  <c r="S114" i="2" s="1"/>
  <c r="N114" i="2" a="1"/>
  <c r="N114" i="2" s="1"/>
  <c r="L114" i="2" a="1"/>
  <c r="L114" i="2" s="1"/>
  <c r="AG112" i="2" a="1"/>
  <c r="AG112" i="2" s="1"/>
  <c r="AH112" i="2" s="1" a="1"/>
  <c r="AH112" i="2" s="1"/>
  <c r="AI112" i="2" s="1" a="1"/>
  <c r="AI112" i="2" s="1"/>
  <c r="W112" i="2" a="1"/>
  <c r="W112" i="2" s="1"/>
  <c r="S112" i="2" a="1"/>
  <c r="S112" i="2" s="1"/>
  <c r="N112" i="2" a="1"/>
  <c r="N112" i="2" s="1"/>
  <c r="L112" i="2" a="1"/>
  <c r="L112" i="2" s="1"/>
  <c r="AG110" i="2" a="1"/>
  <c r="AG110" i="2" s="1"/>
  <c r="AH110" i="2" s="1" a="1"/>
  <c r="AH110" i="2" s="1"/>
  <c r="AI110" i="2" s="1" a="1"/>
  <c r="AI110" i="2" s="1"/>
  <c r="W110" i="2" a="1"/>
  <c r="W110" i="2" s="1"/>
  <c r="S110" i="2" a="1"/>
  <c r="S110" i="2" s="1"/>
  <c r="N110" i="2" a="1"/>
  <c r="N110" i="2" s="1"/>
  <c r="L110" i="2" a="1"/>
  <c r="L110" i="2" s="1"/>
  <c r="AG108" i="2" a="1"/>
  <c r="AG108" i="2" s="1"/>
  <c r="AH108" i="2" s="1" a="1"/>
  <c r="AH108" i="2" s="1"/>
  <c r="AI108" i="2" s="1" a="1"/>
  <c r="AI108" i="2" s="1"/>
  <c r="W108" i="2" a="1"/>
  <c r="W108" i="2" s="1"/>
  <c r="S108" i="2" a="1"/>
  <c r="S108" i="2" s="1"/>
  <c r="N108" i="2" a="1"/>
  <c r="N108" i="2" s="1"/>
  <c r="L108" i="2" a="1"/>
  <c r="L108" i="2" s="1"/>
  <c r="AG106" i="2" a="1"/>
  <c r="AG106" i="2" s="1"/>
  <c r="AH106" i="2" s="1" a="1"/>
  <c r="AH106" i="2" s="1"/>
  <c r="AI106" i="2" s="1" a="1"/>
  <c r="AI106" i="2" s="1"/>
  <c r="W106" i="2" a="1"/>
  <c r="W106" i="2" s="1"/>
  <c r="S106" i="2" a="1"/>
  <c r="S106" i="2" s="1"/>
  <c r="N106" i="2" a="1"/>
  <c r="N106" i="2" s="1"/>
  <c r="L106" i="2" a="1"/>
  <c r="L106" i="2" s="1"/>
  <c r="AG104" i="2" a="1"/>
  <c r="AG104" i="2" s="1"/>
  <c r="AH104" i="2" s="1" a="1"/>
  <c r="AH104" i="2" s="1"/>
  <c r="AI104" i="2" s="1" a="1"/>
  <c r="AI104" i="2" s="1"/>
  <c r="W104" i="2" a="1"/>
  <c r="W104" i="2" s="1"/>
  <c r="S104" i="2" a="1"/>
  <c r="S104" i="2" s="1"/>
  <c r="N104" i="2" a="1"/>
  <c r="N104" i="2" s="1"/>
  <c r="L104" i="2" a="1"/>
  <c r="L104" i="2" s="1"/>
  <c r="AG102" i="2" a="1"/>
  <c r="AG102" i="2" s="1"/>
  <c r="AH102" i="2" s="1" a="1"/>
  <c r="AH102" i="2" s="1"/>
  <c r="AI102" i="2" s="1" a="1"/>
  <c r="AI102" i="2" s="1"/>
  <c r="W102" i="2" a="1"/>
  <c r="W102" i="2" s="1"/>
  <c r="S102" i="2" a="1"/>
  <c r="S102" i="2" s="1"/>
  <c r="N102" i="2" a="1"/>
  <c r="N102" i="2" s="1"/>
  <c r="L102" i="2" a="1"/>
  <c r="L102" i="2" s="1"/>
  <c r="AG100" i="2" a="1"/>
  <c r="AG100" i="2" s="1"/>
  <c r="AH100" i="2" s="1" a="1"/>
  <c r="AH100" i="2" s="1"/>
  <c r="AI100" i="2" s="1" a="1"/>
  <c r="AI100" i="2" s="1"/>
  <c r="W100" i="2" a="1"/>
  <c r="W100" i="2" s="1"/>
  <c r="S100" i="2" a="1"/>
  <c r="S100" i="2" s="1"/>
  <c r="AG98" i="2" a="1"/>
  <c r="AG98" i="2" s="1"/>
  <c r="AH98" i="2" s="1" a="1"/>
  <c r="AH98" i="2" s="1"/>
  <c r="AI98" i="2" s="1" a="1"/>
  <c r="AI98" i="2" s="1"/>
  <c r="W98" i="2" a="1"/>
  <c r="W98" i="2" s="1"/>
  <c r="S98" i="2" a="1"/>
  <c r="S98" i="2" s="1"/>
  <c r="AG96" i="2" a="1"/>
  <c r="AG96" i="2" s="1"/>
  <c r="AH96" i="2" s="1" a="1"/>
  <c r="AH96" i="2" s="1"/>
  <c r="AI96" i="2" s="1" a="1"/>
  <c r="AI96" i="2" s="1"/>
  <c r="W96" i="2" a="1"/>
  <c r="W96" i="2" s="1"/>
  <c r="S96" i="2" a="1"/>
  <c r="S96" i="2" s="1"/>
  <c r="AG95" i="2" a="1"/>
  <c r="AG95" i="2" s="1"/>
  <c r="AH95" i="2" s="1" a="1"/>
  <c r="AH95" i="2" s="1"/>
  <c r="AI95" i="2" s="1" a="1"/>
  <c r="AI95" i="2" s="1"/>
  <c r="W95" i="2" a="1"/>
  <c r="W95" i="2" s="1"/>
  <c r="S95" i="2" a="1"/>
  <c r="S95" i="2" s="1"/>
  <c r="AG92" i="2" a="1"/>
  <c r="AG92" i="2" s="1"/>
  <c r="AH92" i="2" s="1" a="1"/>
  <c r="AH92" i="2" s="1"/>
  <c r="AI92" i="2" s="1" a="1"/>
  <c r="AI92" i="2" s="1"/>
  <c r="W92" i="2" a="1"/>
  <c r="W92" i="2" s="1"/>
  <c r="S92" i="2" a="1"/>
  <c r="S92" i="2" s="1"/>
  <c r="AG91" i="2" a="1"/>
  <c r="AG91" i="2" s="1"/>
  <c r="AH91" i="2" s="1" a="1"/>
  <c r="AH91" i="2" s="1"/>
  <c r="AI91" i="2" s="1" a="1"/>
  <c r="AI91" i="2" s="1"/>
  <c r="W91" i="2" a="1"/>
  <c r="W91" i="2" s="1"/>
  <c r="S91" i="2" a="1"/>
  <c r="S91" i="2" s="1"/>
  <c r="AG88" i="2" a="1"/>
  <c r="AG88" i="2" s="1"/>
  <c r="AH88" i="2" s="1" a="1"/>
  <c r="AH88" i="2" s="1"/>
  <c r="AI88" i="2" s="1" a="1"/>
  <c r="AI88" i="2" s="1"/>
  <c r="W88" i="2" a="1"/>
  <c r="W88" i="2" s="1"/>
  <c r="S88" i="2" a="1"/>
  <c r="S88" i="2" s="1"/>
  <c r="N88" i="2" a="1"/>
  <c r="N88" i="2" s="1"/>
  <c r="L88" i="2" a="1"/>
  <c r="L88" i="2" s="1"/>
  <c r="AG87" i="2" a="1"/>
  <c r="AG87" i="2" s="1"/>
  <c r="AH87" i="2" s="1" a="1"/>
  <c r="AH87" i="2" s="1"/>
  <c r="AI87" i="2" s="1" a="1"/>
  <c r="AI87" i="2" s="1"/>
  <c r="W87" i="2" a="1"/>
  <c r="W87" i="2" s="1"/>
  <c r="S87" i="2" a="1"/>
  <c r="S87" i="2" s="1"/>
  <c r="AG84" i="2" a="1"/>
  <c r="AG84" i="2" s="1"/>
  <c r="AH84" i="2" s="1" a="1"/>
  <c r="AH84" i="2" s="1"/>
  <c r="AI84" i="2" s="1" a="1"/>
  <c r="AI84" i="2" s="1"/>
  <c r="W84" i="2" a="1"/>
  <c r="W84" i="2" s="1"/>
  <c r="S84" i="2" a="1"/>
  <c r="S84" i="2" s="1"/>
  <c r="AG83" i="2" a="1"/>
  <c r="AG83" i="2" s="1"/>
  <c r="AH83" i="2" s="1" a="1"/>
  <c r="AH83" i="2" s="1"/>
  <c r="AI83" i="2" s="1" a="1"/>
  <c r="AI83" i="2" s="1"/>
  <c r="W83" i="2" a="1"/>
  <c r="W83" i="2" s="1"/>
  <c r="S83" i="2" a="1"/>
  <c r="S83" i="2" s="1"/>
  <c r="AG80" i="2" a="1"/>
  <c r="AG80" i="2" s="1"/>
  <c r="AH80" i="2" s="1" a="1"/>
  <c r="AH80" i="2" s="1"/>
  <c r="AI80" i="2" s="1" a="1"/>
  <c r="AI80" i="2" s="1"/>
  <c r="W80" i="2" a="1"/>
  <c r="W80" i="2" s="1"/>
  <c r="S80" i="2" a="1"/>
  <c r="S80" i="2" s="1"/>
  <c r="AG79" i="2" a="1"/>
  <c r="AG79" i="2" s="1"/>
  <c r="AH79" i="2" s="1" a="1"/>
  <c r="AH79" i="2" s="1"/>
  <c r="AI79" i="2" s="1" a="1"/>
  <c r="AI79" i="2" s="1"/>
  <c r="W79" i="2" a="1"/>
  <c r="W79" i="2" s="1"/>
  <c r="S79" i="2" a="1"/>
  <c r="S79" i="2" s="1"/>
  <c r="AG76" i="2" a="1"/>
  <c r="AG76" i="2" s="1"/>
  <c r="AH76" i="2" s="1" a="1"/>
  <c r="AH76" i="2" s="1"/>
  <c r="AI76" i="2" s="1" a="1"/>
  <c r="AI76" i="2" s="1"/>
  <c r="W76" i="2" a="1"/>
  <c r="W76" i="2" s="1"/>
  <c r="S76" i="2" a="1"/>
  <c r="S76" i="2" s="1"/>
  <c r="AG75" i="2" a="1"/>
  <c r="AG75" i="2" s="1"/>
  <c r="AH75" i="2" s="1" a="1"/>
  <c r="AH75" i="2" s="1"/>
  <c r="AI75" i="2" s="1" a="1"/>
  <c r="AI75" i="2" s="1"/>
  <c r="W75" i="2" a="1"/>
  <c r="W75" i="2" s="1"/>
  <c r="S75" i="2" a="1"/>
  <c r="S75" i="2" s="1"/>
  <c r="N75" i="2" a="1"/>
  <c r="N75" i="2" s="1"/>
  <c r="L75" i="2" a="1"/>
  <c r="L75" i="2" s="1"/>
  <c r="AG72" i="2" a="1"/>
  <c r="AG72" i="2" s="1"/>
  <c r="AH72" i="2" s="1" a="1"/>
  <c r="AH72" i="2" s="1"/>
  <c r="AI72" i="2" s="1" a="1"/>
  <c r="AI72" i="2" s="1"/>
  <c r="W72" i="2" a="1"/>
  <c r="W72" i="2" s="1"/>
  <c r="S72" i="2" a="1"/>
  <c r="S72" i="2" s="1"/>
  <c r="N72" i="2" a="1"/>
  <c r="N72" i="2" s="1"/>
  <c r="L72" i="2" a="1"/>
  <c r="L72" i="2" s="1"/>
  <c r="AG71" i="2" a="1"/>
  <c r="AG71" i="2" s="1"/>
  <c r="AH71" i="2" s="1" a="1"/>
  <c r="AH71" i="2" s="1"/>
  <c r="AI71" i="2" s="1" a="1"/>
  <c r="AI71" i="2" s="1"/>
  <c r="W71" i="2" a="1"/>
  <c r="W71" i="2" s="1"/>
  <c r="S71" i="2" a="1"/>
  <c r="S71" i="2" s="1"/>
  <c r="N71" i="2" a="1"/>
  <c r="N71" i="2" s="1"/>
  <c r="L71" i="2" a="1"/>
  <c r="L71" i="2" s="1"/>
  <c r="AG68" i="2" a="1"/>
  <c r="AG68" i="2" s="1"/>
  <c r="AH68" i="2" s="1" a="1"/>
  <c r="AH68" i="2" s="1"/>
  <c r="AI68" i="2" s="1" a="1"/>
  <c r="AI68" i="2" s="1"/>
  <c r="W68" i="2" a="1"/>
  <c r="W68" i="2" s="1"/>
  <c r="S68" i="2" a="1"/>
  <c r="S68" i="2" s="1"/>
  <c r="N68" i="2" a="1"/>
  <c r="N68" i="2" s="1"/>
  <c r="L68" i="2" a="1"/>
  <c r="L68" i="2" s="1"/>
  <c r="AG67" i="2" a="1"/>
  <c r="AG67" i="2" s="1"/>
  <c r="AH67" i="2" s="1" a="1"/>
  <c r="AH67" i="2" s="1"/>
  <c r="AI67" i="2" s="1" a="1"/>
  <c r="AI67" i="2" s="1"/>
  <c r="W67" i="2" a="1"/>
  <c r="W67" i="2" s="1"/>
  <c r="S67" i="2" a="1"/>
  <c r="S67" i="2" s="1"/>
  <c r="N67" i="2" a="1"/>
  <c r="N67" i="2" s="1"/>
  <c r="L67" i="2" a="1"/>
  <c r="L67" i="2" s="1"/>
  <c r="AG64" i="2" a="1"/>
  <c r="AG64" i="2" s="1"/>
  <c r="AH64" i="2" s="1" a="1"/>
  <c r="AH64" i="2" s="1"/>
  <c r="AI64" i="2" s="1" a="1"/>
  <c r="AI64" i="2" s="1"/>
  <c r="W64" i="2" a="1"/>
  <c r="W64" i="2" s="1"/>
  <c r="S64" i="2" a="1"/>
  <c r="S64" i="2" s="1"/>
  <c r="N64" i="2" a="1"/>
  <c r="N64" i="2" s="1"/>
  <c r="L64" i="2" a="1"/>
  <c r="L64" i="2" s="1"/>
  <c r="AG63" i="2" a="1"/>
  <c r="AG63" i="2" s="1"/>
  <c r="AH63" i="2" s="1" a="1"/>
  <c r="AH63" i="2" s="1"/>
  <c r="AI63" i="2" s="1" a="1"/>
  <c r="AI63" i="2" s="1"/>
  <c r="W63" i="2" a="1"/>
  <c r="W63" i="2" s="1"/>
  <c r="S63" i="2" a="1"/>
  <c r="S63" i="2" s="1"/>
  <c r="N63" i="2" a="1"/>
  <c r="N63" i="2" s="1"/>
  <c r="L63" i="2" a="1"/>
  <c r="L63" i="2" s="1"/>
  <c r="AG61" i="2" a="1"/>
  <c r="AG61" i="2" s="1"/>
  <c r="AH61" i="2" s="1" a="1"/>
  <c r="AH61" i="2" s="1"/>
  <c r="AI61" i="2" s="1" a="1"/>
  <c r="AI61" i="2" s="1"/>
  <c r="W61" i="2" a="1"/>
  <c r="W61" i="2" s="1"/>
  <c r="S61" i="2" a="1"/>
  <c r="S61" i="2" s="1"/>
  <c r="N61" i="2" a="1"/>
  <c r="N61" i="2" s="1"/>
  <c r="AG60" i="2" a="1"/>
  <c r="AG60" i="2" s="1"/>
  <c r="AH60" i="2" s="1" a="1"/>
  <c r="AH60" i="2" s="1"/>
  <c r="AI60" i="2" s="1" a="1"/>
  <c r="AI60" i="2" s="1"/>
  <c r="W60" i="2" a="1"/>
  <c r="W60" i="2" s="1"/>
  <c r="S60" i="2" a="1"/>
  <c r="S60" i="2" s="1"/>
  <c r="AG58" i="2" a="1"/>
  <c r="AG58" i="2" s="1"/>
  <c r="AH58" i="2" s="1" a="1"/>
  <c r="AH58" i="2" s="1"/>
  <c r="AI58" i="2" s="1" a="1"/>
  <c r="AI58" i="2" s="1"/>
  <c r="W58" i="2" a="1"/>
  <c r="W58" i="2" s="1"/>
  <c r="S58" i="2" a="1"/>
  <c r="S58" i="2" s="1"/>
  <c r="AG57" i="2" a="1"/>
  <c r="AG57" i="2" s="1"/>
  <c r="AH57" i="2" s="1" a="1"/>
  <c r="AH57" i="2" s="1"/>
  <c r="AI57" i="2" s="1" a="1"/>
  <c r="AI57" i="2" s="1"/>
  <c r="W57" i="2" a="1"/>
  <c r="W57" i="2" s="1"/>
  <c r="S57" i="2" a="1"/>
  <c r="S57" i="2" s="1"/>
  <c r="AG55" i="2" a="1"/>
  <c r="AG55" i="2" s="1"/>
  <c r="AH55" i="2" s="1" a="1"/>
  <c r="AH55" i="2" s="1"/>
  <c r="AI55" i="2" s="1" a="1"/>
  <c r="AI55" i="2" s="1"/>
  <c r="W55" i="2" a="1"/>
  <c r="W55" i="2" s="1"/>
  <c r="S55" i="2" a="1"/>
  <c r="S55" i="2" s="1"/>
  <c r="AG54" i="2" a="1"/>
  <c r="AG54" i="2" s="1"/>
  <c r="AH54" i="2" s="1" a="1"/>
  <c r="AH54" i="2" s="1"/>
  <c r="AI54" i="2" s="1" a="1"/>
  <c r="AI54" i="2" s="1"/>
  <c r="W54" i="2" a="1"/>
  <c r="W54" i="2" s="1"/>
  <c r="S54" i="2" a="1"/>
  <c r="S54" i="2" s="1"/>
  <c r="AG52" i="2" a="1"/>
  <c r="AG52" i="2" s="1"/>
  <c r="AH52" i="2" s="1" a="1"/>
  <c r="AH52" i="2" s="1"/>
  <c r="AI52" i="2" s="1" a="1"/>
  <c r="AI52" i="2" s="1"/>
  <c r="W52" i="2" a="1"/>
  <c r="W52" i="2" s="1"/>
  <c r="S52" i="2" a="1"/>
  <c r="S52" i="2" s="1"/>
  <c r="L52" i="2" a="1"/>
  <c r="L52" i="2" s="1"/>
  <c r="AG51" i="2" a="1"/>
  <c r="AG51" i="2" s="1"/>
  <c r="AH51" i="2" s="1" a="1"/>
  <c r="AH51" i="2" s="1"/>
  <c r="AI51" i="2" s="1" a="1"/>
  <c r="AI51" i="2" s="1"/>
  <c r="S51" i="2" a="1"/>
  <c r="S51" i="2" s="1"/>
  <c r="AG49" i="2" a="1"/>
  <c r="AG49" i="2" s="1"/>
  <c r="AH49" i="2" s="1" a="1"/>
  <c r="AH49" i="2" s="1"/>
  <c r="AI49" i="2" s="1" a="1"/>
  <c r="AI49" i="2" s="1"/>
  <c r="S49" i="2" a="1"/>
  <c r="S49" i="2" s="1"/>
  <c r="AG48" i="2" a="1"/>
  <c r="AG48" i="2" s="1"/>
  <c r="AH48" i="2" s="1" a="1"/>
  <c r="AH48" i="2" s="1"/>
  <c r="AI48" i="2" s="1" a="1"/>
  <c r="AI48" i="2" s="1"/>
  <c r="S48" i="2" a="1"/>
  <c r="S48" i="2" s="1"/>
  <c r="AG46" i="2" a="1"/>
  <c r="AG46" i="2" s="1"/>
  <c r="AH46" i="2" s="1" a="1"/>
  <c r="AH46" i="2" s="1"/>
  <c r="AI46" i="2" s="1" a="1"/>
  <c r="AI46" i="2" s="1"/>
  <c r="S46" i="2" a="1"/>
  <c r="S46" i="2" s="1"/>
  <c r="AG45" i="2" a="1"/>
  <c r="AG45" i="2" s="1"/>
  <c r="AH45" i="2" s="1" a="1"/>
  <c r="AH45" i="2" s="1"/>
  <c r="AI45" i="2" s="1" a="1"/>
  <c r="AI45" i="2" s="1"/>
  <c r="S45" i="2" a="1"/>
  <c r="S45" i="2" s="1"/>
  <c r="AG43" i="2" a="1"/>
  <c r="AG43" i="2" s="1"/>
  <c r="AH43" i="2" s="1" a="1"/>
  <c r="AH43" i="2" s="1"/>
  <c r="AI43" i="2" s="1" a="1"/>
  <c r="AI43" i="2" s="1"/>
  <c r="S43" i="2" a="1"/>
  <c r="S43" i="2" s="1"/>
  <c r="AG42" i="2" a="1"/>
  <c r="AG42" i="2" s="1"/>
  <c r="AH42" i="2" s="1" a="1"/>
  <c r="AH42" i="2" s="1"/>
  <c r="AI42" i="2" s="1" a="1"/>
  <c r="AI42" i="2" s="1"/>
  <c r="S42" i="2" a="1"/>
  <c r="S42" i="2" s="1"/>
  <c r="AG40" i="2" a="1"/>
  <c r="AG40" i="2" s="1"/>
  <c r="AH40" i="2" s="1" a="1"/>
  <c r="AH40" i="2" s="1"/>
  <c r="AI40" i="2" s="1" a="1"/>
  <c r="AI40" i="2" s="1"/>
  <c r="W40" i="2" a="1"/>
  <c r="W40" i="2" s="1"/>
  <c r="S40" i="2" a="1"/>
  <c r="S40" i="2" s="1"/>
  <c r="L40" i="2" a="1"/>
  <c r="L40" i="2" s="1"/>
  <c r="AG39" i="2" a="1"/>
  <c r="AG39" i="2" s="1"/>
  <c r="AH39" i="2" s="1" a="1"/>
  <c r="AH39" i="2" s="1"/>
  <c r="AI39" i="2" s="1" a="1"/>
  <c r="AI39" i="2" s="1"/>
  <c r="W39" i="2" a="1"/>
  <c r="W39" i="2" s="1"/>
  <c r="S39" i="2" a="1"/>
  <c r="S39" i="2" s="1"/>
  <c r="L39" i="2" a="1"/>
  <c r="L39" i="2" s="1"/>
  <c r="AG37" i="2" a="1"/>
  <c r="AG37" i="2" s="1"/>
  <c r="AH37" i="2" s="1" a="1"/>
  <c r="AH37" i="2" s="1"/>
  <c r="AI37" i="2" s="1" a="1"/>
  <c r="AI37" i="2" s="1"/>
  <c r="W37" i="2" a="1"/>
  <c r="W37" i="2" s="1"/>
  <c r="S37" i="2" a="1"/>
  <c r="S37" i="2" s="1"/>
  <c r="L37" i="2" a="1"/>
  <c r="L37" i="2" s="1"/>
  <c r="AG36" i="2" a="1"/>
  <c r="AG36" i="2" s="1"/>
  <c r="AH36" i="2" s="1" a="1"/>
  <c r="AH36" i="2" s="1"/>
  <c r="AI36" i="2" s="1" a="1"/>
  <c r="AI36" i="2" s="1"/>
  <c r="W36" i="2" a="1"/>
  <c r="W36" i="2" s="1"/>
  <c r="S36" i="2" a="1"/>
  <c r="S36" i="2" s="1"/>
  <c r="L36" i="2" a="1"/>
  <c r="L36" i="2" s="1"/>
  <c r="AG34" i="2" a="1"/>
  <c r="AG34" i="2" s="1"/>
  <c r="AH34" i="2" s="1" a="1"/>
  <c r="AH34" i="2" s="1"/>
  <c r="AI34" i="2" s="1" a="1"/>
  <c r="AI34" i="2" s="1"/>
  <c r="W34" i="2" a="1"/>
  <c r="W34" i="2" s="1"/>
  <c r="S34" i="2" a="1"/>
  <c r="S34" i="2" s="1"/>
  <c r="L34" i="2" a="1"/>
  <c r="L34" i="2" s="1"/>
  <c r="AG33" i="2" a="1"/>
  <c r="AG33" i="2" s="1"/>
  <c r="AH33" i="2" s="1" a="1"/>
  <c r="AH33" i="2" s="1"/>
  <c r="AI33" i="2" s="1" a="1"/>
  <c r="AI33" i="2" s="1"/>
  <c r="W33" i="2" a="1"/>
  <c r="W33" i="2" s="1"/>
  <c r="S33" i="2" a="1"/>
  <c r="S33" i="2" s="1"/>
  <c r="L33" i="2" a="1"/>
  <c r="L33" i="2" s="1"/>
  <c r="AG31" i="2" a="1"/>
  <c r="AG31" i="2" s="1"/>
  <c r="AH31" i="2" s="1" a="1"/>
  <c r="AH31" i="2" s="1"/>
  <c r="AI31" i="2" s="1" a="1"/>
  <c r="AI31" i="2" s="1"/>
  <c r="W31" i="2" a="1"/>
  <c r="W31" i="2" s="1"/>
  <c r="S31" i="2" a="1"/>
  <c r="S31" i="2" s="1"/>
  <c r="L31" i="2" a="1"/>
  <c r="L31" i="2" s="1"/>
  <c r="AG30" i="2" a="1"/>
  <c r="AG30" i="2" s="1"/>
  <c r="AH30" i="2" s="1" a="1"/>
  <c r="AH30" i="2" s="1"/>
  <c r="AI30" i="2" s="1" a="1"/>
  <c r="AI30" i="2" s="1"/>
  <c r="W30" i="2" a="1"/>
  <c r="W30" i="2" s="1"/>
  <c r="S30" i="2" a="1"/>
  <c r="S30" i="2" s="1"/>
  <c r="AG28" i="2" a="1"/>
  <c r="AG28" i="2" s="1"/>
  <c r="AH28" i="2" s="1" a="1"/>
  <c r="AH28" i="2" s="1"/>
  <c r="AI28" i="2" s="1" a="1"/>
  <c r="AI28" i="2" s="1"/>
  <c r="W28" i="2" a="1"/>
  <c r="W28" i="2" s="1"/>
  <c r="S28" i="2" a="1"/>
  <c r="S28" i="2" s="1"/>
  <c r="AG27" i="2" a="1"/>
  <c r="AG27" i="2"/>
  <c r="AH27" i="2" s="1" a="1"/>
  <c r="AH27" i="2" s="1"/>
  <c r="AI27" i="2" s="1" a="1"/>
  <c r="AI27" i="2" s="1"/>
  <c r="W27" i="2" a="1"/>
  <c r="W27" i="2" s="1"/>
  <c r="S27" i="2" a="1"/>
  <c r="S27" i="2" s="1"/>
  <c r="AG25" i="2" a="1"/>
  <c r="AG25" i="2" s="1"/>
  <c r="AH25" i="2" s="1" a="1"/>
  <c r="AH25" i="2" s="1"/>
  <c r="AI25" i="2" s="1" a="1"/>
  <c r="AI25" i="2" s="1"/>
  <c r="W25" i="2" a="1"/>
  <c r="W25" i="2" s="1"/>
  <c r="S25" i="2" a="1"/>
  <c r="S25" i="2" s="1"/>
  <c r="AG24" i="2" a="1"/>
  <c r="AG24" i="2" s="1"/>
  <c r="AH24" i="2" s="1" a="1"/>
  <c r="AH24" i="2" s="1"/>
  <c r="AI24" i="2" s="1" a="1"/>
  <c r="AI24" i="2" s="1"/>
  <c r="W24" i="2" a="1"/>
  <c r="W24" i="2" s="1"/>
  <c r="S24" i="2" a="1"/>
  <c r="S24" i="2" s="1"/>
  <c r="AG22" i="2" a="1"/>
  <c r="AG22" i="2" s="1"/>
  <c r="AH22" i="2" s="1" a="1"/>
  <c r="AH22" i="2" s="1"/>
  <c r="AI22" i="2" s="1" a="1"/>
  <c r="AI22" i="2" s="1"/>
  <c r="W22" i="2" a="1"/>
  <c r="W22" i="2" s="1"/>
  <c r="S22" i="2" a="1"/>
  <c r="S22" i="2" s="1"/>
  <c r="AG21" i="2" a="1"/>
  <c r="AG21" i="2" s="1"/>
  <c r="AH21" i="2" s="1" a="1"/>
  <c r="AH21" i="2" s="1"/>
  <c r="AI21" i="2" s="1" a="1"/>
  <c r="AI21" i="2" s="1"/>
  <c r="S21" i="2" a="1"/>
  <c r="S21" i="2" s="1"/>
  <c r="N21" i="2" a="1"/>
  <c r="N21" i="2" s="1"/>
  <c r="W21" i="2" s="1" a="1"/>
  <c r="W21" i="2" s="1"/>
  <c r="AG514" i="2" a="1"/>
  <c r="AG514" i="2" s="1"/>
  <c r="AH514" i="2" s="1" a="1"/>
  <c r="AH514" i="2" s="1"/>
  <c r="AI514" i="2" s="1" a="1"/>
  <c r="AI514" i="2" s="1"/>
  <c r="W514" i="2" a="1"/>
  <c r="W514" i="2" s="1"/>
  <c r="S514" i="2" a="1"/>
  <c r="S514" i="2" s="1"/>
  <c r="N514" i="2" a="1"/>
  <c r="N514" i="2" s="1"/>
  <c r="AG513" i="2" a="1"/>
  <c r="AG513" i="2" s="1"/>
  <c r="AH513" i="2" s="1" a="1"/>
  <c r="AH513" i="2" s="1"/>
  <c r="AI513" i="2" s="1" a="1"/>
  <c r="AI513" i="2" s="1"/>
  <c r="W513" i="2" a="1"/>
  <c r="W513" i="2" s="1"/>
  <c r="S513" i="2" a="1"/>
  <c r="S513" i="2" s="1"/>
  <c r="N513" i="2" a="1"/>
  <c r="N513" i="2" s="1"/>
  <c r="AG512" i="2" a="1"/>
  <c r="AG512" i="2" s="1"/>
  <c r="AH512" i="2" s="1" a="1"/>
  <c r="AH512" i="2" s="1"/>
  <c r="AI512" i="2" s="1" a="1"/>
  <c r="AI512" i="2" s="1"/>
  <c r="W512" i="2" a="1"/>
  <c r="W512" i="2" s="1"/>
  <c r="S512" i="2" a="1"/>
  <c r="S512" i="2" s="1"/>
  <c r="N512" i="2" a="1"/>
  <c r="N512" i="2" s="1"/>
  <c r="AG511" i="2" a="1"/>
  <c r="AG511" i="2" s="1"/>
  <c r="AH511" i="2" s="1" a="1"/>
  <c r="AH511" i="2" s="1"/>
  <c r="AI511" i="2" s="1" a="1"/>
  <c r="AI511" i="2" s="1"/>
  <c r="W511" i="2" a="1"/>
  <c r="W511" i="2" s="1"/>
  <c r="S511" i="2" a="1"/>
  <c r="S511" i="2" s="1"/>
  <c r="N511" i="2" a="1"/>
  <c r="N511" i="2" s="1"/>
  <c r="AG510" i="2" a="1"/>
  <c r="AG510" i="2" s="1"/>
  <c r="AH510" i="2" s="1" a="1"/>
  <c r="AH510" i="2" s="1"/>
  <c r="AI510" i="2" s="1" a="1"/>
  <c r="AI510" i="2" s="1"/>
  <c r="W510" i="2" a="1"/>
  <c r="W510" i="2" s="1"/>
  <c r="S510" i="2" a="1"/>
  <c r="S510" i="2" s="1"/>
  <c r="N510" i="2" a="1"/>
  <c r="N510" i="2" s="1"/>
  <c r="AG509" i="2" a="1"/>
  <c r="AG509" i="2" s="1"/>
  <c r="AH509" i="2" s="1" a="1"/>
  <c r="AH509" i="2" s="1"/>
  <c r="AI509" i="2" s="1" a="1"/>
  <c r="AI509" i="2" s="1"/>
  <c r="W509" i="2" a="1"/>
  <c r="W509" i="2" s="1"/>
  <c r="S509" i="2" a="1"/>
  <c r="S509" i="2" s="1"/>
  <c r="N509" i="2" a="1"/>
  <c r="N509" i="2" s="1"/>
  <c r="AG508" i="2" a="1"/>
  <c r="AG508" i="2"/>
  <c r="AH508" i="2" s="1" a="1"/>
  <c r="AH508" i="2" s="1"/>
  <c r="AI508" i="2" s="1" a="1"/>
  <c r="AI508" i="2" s="1"/>
  <c r="W508" i="2" a="1"/>
  <c r="W508" i="2" s="1"/>
  <c r="S508" i="2" a="1"/>
  <c r="S508" i="2" s="1"/>
  <c r="N508" i="2" a="1"/>
  <c r="N508" i="2" s="1"/>
  <c r="AG507" i="2" a="1"/>
  <c r="AG507" i="2" s="1"/>
  <c r="AH507" i="2" s="1" a="1"/>
  <c r="AH507" i="2" s="1"/>
  <c r="AI507" i="2" s="1" a="1"/>
  <c r="AI507" i="2" s="1"/>
  <c r="W507" i="2" a="1"/>
  <c r="W507" i="2" s="1"/>
  <c r="S507" i="2" a="1"/>
  <c r="S507" i="2" s="1"/>
  <c r="N507" i="2" a="1"/>
  <c r="N507" i="2" s="1"/>
  <c r="AG506" i="2" a="1"/>
  <c r="AG506" i="2" s="1"/>
  <c r="AH506" i="2" s="1" a="1"/>
  <c r="AH506" i="2" s="1"/>
  <c r="AI506" i="2" s="1" a="1"/>
  <c r="AI506" i="2" s="1"/>
  <c r="W506" i="2" a="1"/>
  <c r="W506" i="2" s="1"/>
  <c r="S506" i="2" a="1"/>
  <c r="S506" i="2" s="1"/>
  <c r="N506" i="2" a="1"/>
  <c r="N506" i="2"/>
  <c r="AG505" i="2" a="1"/>
  <c r="AG505" i="2" s="1"/>
  <c r="AH505" i="2" s="1" a="1"/>
  <c r="AH505" i="2" s="1"/>
  <c r="AI505" i="2" s="1" a="1"/>
  <c r="AI505" i="2" s="1"/>
  <c r="W505" i="2" a="1"/>
  <c r="W505" i="2" s="1"/>
  <c r="S505" i="2" a="1"/>
  <c r="S505" i="2" s="1"/>
  <c r="N505" i="2" a="1"/>
  <c r="N505" i="2" s="1"/>
  <c r="AG504" i="2" a="1"/>
  <c r="AG504" i="2" s="1"/>
  <c r="AH504" i="2" s="1" a="1"/>
  <c r="AH504" i="2" s="1"/>
  <c r="AI504" i="2" s="1" a="1"/>
  <c r="AI504" i="2" s="1"/>
  <c r="W504" i="2" a="1"/>
  <c r="W504" i="2" s="1"/>
  <c r="S504" i="2" a="1"/>
  <c r="S504" i="2" s="1"/>
  <c r="N504" i="2" a="1"/>
  <c r="N504" i="2" s="1"/>
  <c r="AG503" i="2" a="1"/>
  <c r="AG503" i="2" s="1"/>
  <c r="AH503" i="2" s="1" a="1"/>
  <c r="AH503" i="2" s="1"/>
  <c r="AI503" i="2" s="1" a="1"/>
  <c r="AI503" i="2" s="1"/>
  <c r="W503" i="2" a="1"/>
  <c r="W503" i="2" s="1"/>
  <c r="S503" i="2" a="1"/>
  <c r="S503" i="2" s="1"/>
  <c r="N503" i="2" a="1"/>
  <c r="N503" i="2" s="1"/>
  <c r="AG502" i="2" a="1"/>
  <c r="AG502" i="2" s="1"/>
  <c r="AH502" i="2" s="1" a="1"/>
  <c r="AH502" i="2" s="1"/>
  <c r="AI502" i="2" s="1" a="1"/>
  <c r="AI502" i="2" s="1"/>
  <c r="W502" i="2" a="1"/>
  <c r="W502" i="2" s="1"/>
  <c r="S502" i="2" a="1"/>
  <c r="S502" i="2" s="1"/>
  <c r="N502" i="2" a="1"/>
  <c r="N502" i="2" s="1"/>
  <c r="AG501" i="2" a="1"/>
  <c r="AG501" i="2" s="1"/>
  <c r="AH501" i="2" s="1" a="1"/>
  <c r="AH501" i="2" s="1"/>
  <c r="AI501" i="2" s="1" a="1"/>
  <c r="AI501" i="2" s="1"/>
  <c r="W501" i="2" a="1"/>
  <c r="W501" i="2" s="1"/>
  <c r="S501" i="2" a="1"/>
  <c r="S501" i="2" s="1"/>
  <c r="N501" i="2" a="1"/>
  <c r="N501" i="2" s="1"/>
  <c r="AG500" i="2" a="1"/>
  <c r="AG500" i="2" s="1"/>
  <c r="AH500" i="2" s="1" a="1"/>
  <c r="AH500" i="2" s="1"/>
  <c r="AI500" i="2" s="1" a="1"/>
  <c r="AI500" i="2" s="1"/>
  <c r="W500" i="2" a="1"/>
  <c r="W500" i="2" s="1"/>
  <c r="S500" i="2" a="1"/>
  <c r="S500" i="2" s="1"/>
  <c r="N500" i="2" a="1"/>
  <c r="N500" i="2" s="1"/>
  <c r="AG499" i="2" a="1"/>
  <c r="AG499" i="2" s="1"/>
  <c r="AH499" i="2" s="1" a="1"/>
  <c r="AH499" i="2" s="1"/>
  <c r="AI499" i="2" s="1" a="1"/>
  <c r="AI499" i="2" s="1"/>
  <c r="W499" i="2" a="1"/>
  <c r="W499" i="2" s="1"/>
  <c r="S499" i="2" a="1"/>
  <c r="S499" i="2" s="1"/>
  <c r="N499" i="2" a="1"/>
  <c r="N499" i="2" s="1"/>
  <c r="AG498" i="2" a="1"/>
  <c r="AG498" i="2" s="1"/>
  <c r="AH498" i="2" s="1" a="1"/>
  <c r="AH498" i="2" s="1"/>
  <c r="AI498" i="2" s="1" a="1"/>
  <c r="AI498" i="2" s="1"/>
  <c r="W498" i="2" a="1"/>
  <c r="W498" i="2" s="1"/>
  <c r="S498" i="2" a="1"/>
  <c r="S498" i="2" s="1"/>
  <c r="N498" i="2" a="1"/>
  <c r="N498" i="2" s="1"/>
  <c r="AG497" i="2" a="1"/>
  <c r="AG497" i="2" s="1"/>
  <c r="AH497" i="2" s="1" a="1"/>
  <c r="AH497" i="2" s="1"/>
  <c r="AI497" i="2" s="1" a="1"/>
  <c r="AI497" i="2" s="1"/>
  <c r="W497" i="2" a="1"/>
  <c r="W497" i="2" s="1"/>
  <c r="S497" i="2" a="1"/>
  <c r="S497" i="2" s="1"/>
  <c r="N497" i="2" a="1"/>
  <c r="N497" i="2" s="1"/>
  <c r="AG496" i="2" a="1"/>
  <c r="AG496" i="2" s="1"/>
  <c r="AH496" i="2" s="1" a="1"/>
  <c r="AH496" i="2" s="1"/>
  <c r="AI496" i="2" s="1" a="1"/>
  <c r="AI496" i="2" s="1"/>
  <c r="W496" i="2" a="1"/>
  <c r="W496" i="2" s="1"/>
  <c r="S496" i="2" a="1"/>
  <c r="S496" i="2" s="1"/>
  <c r="N496" i="2" a="1"/>
  <c r="N496" i="2" s="1"/>
  <c r="AG495" i="2" a="1"/>
  <c r="AG495" i="2" s="1"/>
  <c r="AH495" i="2" s="1" a="1"/>
  <c r="AH495" i="2" s="1"/>
  <c r="AI495" i="2" s="1" a="1"/>
  <c r="AI495" i="2" s="1"/>
  <c r="W495" i="2" a="1"/>
  <c r="W495" i="2" s="1"/>
  <c r="S495" i="2" a="1"/>
  <c r="S495" i="2" s="1"/>
  <c r="N495" i="2" a="1"/>
  <c r="N495" i="2" s="1"/>
  <c r="AG494" i="2" a="1"/>
  <c r="AG494" i="2" s="1"/>
  <c r="AH494" i="2" s="1" a="1"/>
  <c r="AH494" i="2" s="1"/>
  <c r="AI494" i="2" s="1" a="1"/>
  <c r="AI494" i="2" s="1"/>
  <c r="W494" i="2" a="1"/>
  <c r="W494" i="2" s="1"/>
  <c r="S494" i="2" a="1"/>
  <c r="S494" i="2" s="1"/>
  <c r="N494" i="2" a="1"/>
  <c r="N494" i="2" s="1"/>
  <c r="AG493" i="2" a="1"/>
  <c r="AG493" i="2" s="1"/>
  <c r="AH493" i="2" s="1" a="1"/>
  <c r="AH493" i="2" s="1"/>
  <c r="AI493" i="2" s="1" a="1"/>
  <c r="AI493" i="2" s="1"/>
  <c r="W493" i="2" a="1"/>
  <c r="W493" i="2" s="1"/>
  <c r="S493" i="2" a="1"/>
  <c r="S493" i="2" s="1"/>
  <c r="N493" i="2" a="1"/>
  <c r="N493" i="2" s="1"/>
  <c r="AG492" i="2" a="1"/>
  <c r="AG492" i="2" s="1"/>
  <c r="AH492" i="2" s="1" a="1"/>
  <c r="AH492" i="2" s="1"/>
  <c r="AI492" i="2" s="1" a="1"/>
  <c r="AI492" i="2" s="1"/>
  <c r="W492" i="2" a="1"/>
  <c r="W492" i="2" s="1"/>
  <c r="S492" i="2" a="1"/>
  <c r="S492" i="2" s="1"/>
  <c r="N492" i="2" a="1"/>
  <c r="N492" i="2" s="1"/>
  <c r="AG491" i="2" a="1"/>
  <c r="AG491" i="2" s="1"/>
  <c r="AH491" i="2" s="1" a="1"/>
  <c r="AH491" i="2" s="1"/>
  <c r="AI491" i="2" s="1" a="1"/>
  <c r="AI491" i="2" s="1"/>
  <c r="W491" i="2" a="1"/>
  <c r="W491" i="2" s="1"/>
  <c r="S491" i="2" a="1"/>
  <c r="S491" i="2" s="1"/>
  <c r="N491" i="2" a="1"/>
  <c r="N491" i="2" s="1"/>
  <c r="AG490" i="2" a="1"/>
  <c r="AG490" i="2" s="1"/>
  <c r="AH490" i="2" s="1" a="1"/>
  <c r="AH490" i="2" s="1"/>
  <c r="AI490" i="2" s="1" a="1"/>
  <c r="AI490" i="2" s="1"/>
  <c r="W490" i="2" a="1"/>
  <c r="W490" i="2" s="1"/>
  <c r="S490" i="2" a="1"/>
  <c r="S490" i="2" s="1"/>
  <c r="N490" i="2" a="1"/>
  <c r="N490" i="2" s="1"/>
  <c r="AG489" i="2" a="1"/>
  <c r="AG489" i="2" s="1"/>
  <c r="AH489" i="2" s="1" a="1"/>
  <c r="AH489" i="2" s="1"/>
  <c r="AI489" i="2" s="1" a="1"/>
  <c r="AI489" i="2" s="1"/>
  <c r="W489" i="2" a="1"/>
  <c r="W489" i="2" s="1"/>
  <c r="S489" i="2" a="1"/>
  <c r="S489" i="2" s="1"/>
  <c r="N489" i="2" a="1"/>
  <c r="N489" i="2" s="1"/>
  <c r="AG488" i="2" a="1"/>
  <c r="AG488" i="2" s="1"/>
  <c r="AH488" i="2" s="1" a="1"/>
  <c r="AH488" i="2" s="1"/>
  <c r="AI488" i="2" s="1" a="1"/>
  <c r="AI488" i="2" s="1"/>
  <c r="W488" i="2" a="1"/>
  <c r="W488" i="2" s="1"/>
  <c r="S488" i="2" a="1"/>
  <c r="S488" i="2" s="1"/>
  <c r="N488" i="2" a="1"/>
  <c r="N488" i="2" s="1"/>
  <c r="AG487" i="2" a="1"/>
  <c r="AG487" i="2" s="1"/>
  <c r="AH487" i="2" s="1" a="1"/>
  <c r="AH487" i="2" s="1"/>
  <c r="AI487" i="2" s="1" a="1"/>
  <c r="AI487" i="2" s="1"/>
  <c r="W487" i="2" a="1"/>
  <c r="W487" i="2" s="1"/>
  <c r="S487" i="2" a="1"/>
  <c r="S487" i="2" s="1"/>
  <c r="N487" i="2" a="1"/>
  <c r="N487" i="2" s="1"/>
  <c r="AG486" i="2" a="1"/>
  <c r="AG486" i="2" s="1"/>
  <c r="AH486" i="2" s="1" a="1"/>
  <c r="AH486" i="2" s="1"/>
  <c r="AI486" i="2" s="1" a="1"/>
  <c r="AI486" i="2" s="1"/>
  <c r="W486" i="2" a="1"/>
  <c r="W486" i="2" s="1"/>
  <c r="S486" i="2" a="1"/>
  <c r="S486" i="2" s="1"/>
  <c r="N486" i="2" a="1"/>
  <c r="N486" i="2" s="1"/>
  <c r="AG485" i="2" a="1"/>
  <c r="AG485" i="2" s="1"/>
  <c r="AH485" i="2" s="1" a="1"/>
  <c r="AH485" i="2" s="1"/>
  <c r="AI485" i="2" s="1" a="1"/>
  <c r="AI485" i="2" s="1"/>
  <c r="W485" i="2" a="1"/>
  <c r="W485" i="2" s="1"/>
  <c r="S485" i="2" a="1"/>
  <c r="S485" i="2" s="1"/>
  <c r="N485" i="2" a="1"/>
  <c r="N485" i="2" s="1"/>
  <c r="AG484" i="2" a="1"/>
  <c r="AG484" i="2" s="1"/>
  <c r="AH484" i="2" s="1" a="1"/>
  <c r="AH484" i="2" s="1"/>
  <c r="AI484" i="2" s="1" a="1"/>
  <c r="AI484" i="2" s="1"/>
  <c r="W484" i="2" a="1"/>
  <c r="W484" i="2" s="1"/>
  <c r="S484" i="2" a="1"/>
  <c r="S484" i="2" s="1"/>
  <c r="N484" i="2" a="1"/>
  <c r="N484" i="2" s="1"/>
  <c r="AG483" i="2" a="1"/>
  <c r="AG483" i="2" s="1"/>
  <c r="AH483" i="2" s="1" a="1"/>
  <c r="AH483" i="2" s="1"/>
  <c r="AI483" i="2" s="1" a="1"/>
  <c r="AI483" i="2" s="1"/>
  <c r="W483" i="2" a="1"/>
  <c r="W483" i="2" s="1"/>
  <c r="S483" i="2" a="1"/>
  <c r="S483" i="2" s="1"/>
  <c r="N483" i="2" a="1"/>
  <c r="N483" i="2" s="1"/>
  <c r="AG482" i="2" a="1"/>
  <c r="AG482" i="2" s="1"/>
  <c r="AH482" i="2" s="1" a="1"/>
  <c r="AH482" i="2" s="1"/>
  <c r="AI482" i="2" s="1" a="1"/>
  <c r="AI482" i="2" s="1"/>
  <c r="W482" i="2" a="1"/>
  <c r="W482" i="2" s="1"/>
  <c r="S482" i="2" a="1"/>
  <c r="S482" i="2" s="1"/>
  <c r="N482" i="2" a="1"/>
  <c r="N482" i="2" s="1"/>
  <c r="AG481" i="2" a="1"/>
  <c r="AG481" i="2" s="1"/>
  <c r="AH481" i="2" s="1" a="1"/>
  <c r="AH481" i="2" s="1"/>
  <c r="AI481" i="2" s="1" a="1"/>
  <c r="AI481" i="2" s="1"/>
  <c r="W481" i="2" a="1"/>
  <c r="W481" i="2" s="1"/>
  <c r="S481" i="2" a="1"/>
  <c r="S481" i="2" s="1"/>
  <c r="N481" i="2" a="1"/>
  <c r="N481" i="2" s="1"/>
  <c r="AG480" i="2" a="1"/>
  <c r="AG480" i="2" s="1"/>
  <c r="AH480" i="2" s="1" a="1"/>
  <c r="AH480" i="2" s="1"/>
  <c r="AI480" i="2" s="1" a="1"/>
  <c r="AI480" i="2" s="1"/>
  <c r="W480" i="2" a="1"/>
  <c r="W480" i="2" s="1"/>
  <c r="S480" i="2" a="1"/>
  <c r="S480" i="2" s="1"/>
  <c r="N480" i="2" a="1"/>
  <c r="N480" i="2" s="1"/>
  <c r="AG479" i="2" a="1"/>
  <c r="AG479" i="2" s="1"/>
  <c r="AH479" i="2" s="1" a="1"/>
  <c r="AH479" i="2" s="1"/>
  <c r="AI479" i="2" s="1" a="1"/>
  <c r="AI479" i="2" s="1"/>
  <c r="W479" i="2" a="1"/>
  <c r="W479" i="2" s="1"/>
  <c r="S479" i="2" a="1"/>
  <c r="S479" i="2" s="1"/>
  <c r="N479" i="2" a="1"/>
  <c r="N479" i="2" s="1"/>
  <c r="AG478" i="2" a="1"/>
  <c r="AG478" i="2" s="1"/>
  <c r="AH478" i="2" s="1" a="1"/>
  <c r="AH478" i="2" s="1"/>
  <c r="AI478" i="2" s="1" a="1"/>
  <c r="AI478" i="2" s="1"/>
  <c r="W478" i="2" a="1"/>
  <c r="W478" i="2" s="1"/>
  <c r="S478" i="2" a="1"/>
  <c r="S478" i="2" s="1"/>
  <c r="N478" i="2" a="1"/>
  <c r="N478" i="2" s="1"/>
  <c r="AG477" i="2" a="1"/>
  <c r="AG477" i="2" s="1"/>
  <c r="AH477" i="2" s="1" a="1"/>
  <c r="AH477" i="2" s="1"/>
  <c r="AI477" i="2" s="1" a="1"/>
  <c r="AI477" i="2" s="1"/>
  <c r="W477" i="2" a="1"/>
  <c r="W477" i="2" s="1"/>
  <c r="S477" i="2" a="1"/>
  <c r="S477" i="2" s="1"/>
  <c r="N477" i="2" a="1"/>
  <c r="N477" i="2" s="1"/>
  <c r="AG476" i="2" a="1"/>
  <c r="AG476" i="2" s="1"/>
  <c r="AH476" i="2" s="1" a="1"/>
  <c r="AH476" i="2" s="1"/>
  <c r="AI476" i="2" s="1" a="1"/>
  <c r="AI476" i="2" s="1"/>
  <c r="W476" i="2" a="1"/>
  <c r="W476" i="2" s="1"/>
  <c r="S476" i="2" a="1"/>
  <c r="S476" i="2" s="1"/>
  <c r="N476" i="2" a="1"/>
  <c r="N476" i="2" s="1"/>
  <c r="AG475" i="2" a="1"/>
  <c r="AG475" i="2" s="1"/>
  <c r="AH475" i="2" s="1" a="1"/>
  <c r="AH475" i="2" s="1"/>
  <c r="AI475" i="2" s="1" a="1"/>
  <c r="AI475" i="2" s="1"/>
  <c r="W475" i="2" a="1"/>
  <c r="W475" i="2" s="1"/>
  <c r="S475" i="2" a="1"/>
  <c r="S475" i="2" s="1"/>
  <c r="N475" i="2" a="1"/>
  <c r="N475" i="2" s="1"/>
  <c r="AG474" i="2" a="1"/>
  <c r="AG474" i="2" s="1"/>
  <c r="AH474" i="2" s="1" a="1"/>
  <c r="AH474" i="2" s="1"/>
  <c r="AI474" i="2" s="1" a="1"/>
  <c r="AI474" i="2" s="1"/>
  <c r="W474" i="2" a="1"/>
  <c r="W474" i="2" s="1"/>
  <c r="S474" i="2" a="1"/>
  <c r="S474" i="2" s="1"/>
  <c r="N474" i="2" a="1"/>
  <c r="N474" i="2" s="1"/>
  <c r="AG473" i="2" a="1"/>
  <c r="AG473" i="2" s="1"/>
  <c r="AH473" i="2" s="1" a="1"/>
  <c r="AH473" i="2" s="1"/>
  <c r="AI473" i="2" s="1" a="1"/>
  <c r="AI473" i="2" s="1"/>
  <c r="W473" i="2" a="1"/>
  <c r="W473" i="2" s="1"/>
  <c r="S473" i="2" a="1"/>
  <c r="S473" i="2" s="1"/>
  <c r="N473" i="2" a="1"/>
  <c r="N473" i="2" s="1"/>
  <c r="AG472" i="2" a="1"/>
  <c r="AG472" i="2" s="1"/>
  <c r="AH472" i="2" s="1" a="1"/>
  <c r="AH472" i="2" s="1"/>
  <c r="AI472" i="2" s="1" a="1"/>
  <c r="AI472" i="2" s="1"/>
  <c r="W472" i="2" a="1"/>
  <c r="W472" i="2" s="1"/>
  <c r="S472" i="2" a="1"/>
  <c r="S472" i="2" s="1"/>
  <c r="N472" i="2" a="1"/>
  <c r="N472" i="2" s="1"/>
  <c r="AG471" i="2" a="1"/>
  <c r="AG471" i="2" s="1"/>
  <c r="AH471" i="2" s="1" a="1"/>
  <c r="AH471" i="2" s="1"/>
  <c r="AI471" i="2" s="1" a="1"/>
  <c r="AI471" i="2" s="1"/>
  <c r="W471" i="2" a="1"/>
  <c r="W471" i="2" s="1"/>
  <c r="S471" i="2" a="1"/>
  <c r="S471" i="2" s="1"/>
  <c r="N471" i="2" a="1"/>
  <c r="N471" i="2" s="1"/>
  <c r="AG470" i="2" a="1"/>
  <c r="AG470" i="2" s="1"/>
  <c r="AH470" i="2" s="1" a="1"/>
  <c r="AH470" i="2" s="1"/>
  <c r="AI470" i="2" s="1" a="1"/>
  <c r="AI470" i="2" s="1"/>
  <c r="W470" i="2" a="1"/>
  <c r="W470" i="2" s="1"/>
  <c r="S470" i="2" a="1"/>
  <c r="S470" i="2" s="1"/>
  <c r="N470" i="2" a="1"/>
  <c r="N470" i="2" s="1"/>
  <c r="AG469" i="2" a="1"/>
  <c r="AG469" i="2" s="1"/>
  <c r="AH469" i="2" s="1" a="1"/>
  <c r="AH469" i="2" s="1"/>
  <c r="AI469" i="2" s="1" a="1"/>
  <c r="AI469" i="2" s="1"/>
  <c r="W469" i="2" a="1"/>
  <c r="W469" i="2" s="1"/>
  <c r="S469" i="2" a="1"/>
  <c r="S469" i="2" s="1"/>
  <c r="N469" i="2" a="1"/>
  <c r="N469" i="2" s="1"/>
  <c r="AG468" i="2" a="1"/>
  <c r="AG468" i="2" s="1"/>
  <c r="AH468" i="2" s="1" a="1"/>
  <c r="AH468" i="2" s="1"/>
  <c r="AI468" i="2" s="1" a="1"/>
  <c r="AI468" i="2" s="1"/>
  <c r="W468" i="2" a="1"/>
  <c r="W468" i="2" s="1"/>
  <c r="S468" i="2" a="1"/>
  <c r="S468" i="2" s="1"/>
  <c r="N468" i="2" a="1"/>
  <c r="N468" i="2" s="1"/>
  <c r="AG467" i="2" a="1"/>
  <c r="AG467" i="2" s="1"/>
  <c r="AH467" i="2" s="1" a="1"/>
  <c r="AH467" i="2" s="1"/>
  <c r="AI467" i="2" s="1" a="1"/>
  <c r="AI467" i="2" s="1"/>
  <c r="W467" i="2" a="1"/>
  <c r="W467" i="2" s="1"/>
  <c r="S467" i="2" a="1"/>
  <c r="S467" i="2" s="1"/>
  <c r="N467" i="2" a="1"/>
  <c r="N467" i="2" s="1"/>
  <c r="AG466" i="2" a="1"/>
  <c r="AG466" i="2" s="1"/>
  <c r="AH466" i="2" s="1" a="1"/>
  <c r="AH466" i="2" s="1"/>
  <c r="AI466" i="2" s="1" a="1"/>
  <c r="AI466" i="2" s="1"/>
  <c r="W466" i="2" a="1"/>
  <c r="W466" i="2" s="1"/>
  <c r="S466" i="2" a="1"/>
  <c r="S466" i="2" s="1"/>
  <c r="N466" i="2" a="1"/>
  <c r="N466" i="2" s="1"/>
  <c r="AG465" i="2" a="1"/>
  <c r="AG465" i="2" s="1"/>
  <c r="AH465" i="2" s="1" a="1"/>
  <c r="AH465" i="2" s="1"/>
  <c r="AI465" i="2" s="1" a="1"/>
  <c r="AI465" i="2" s="1"/>
  <c r="W465" i="2" a="1"/>
  <c r="W465" i="2" s="1"/>
  <c r="S465" i="2" a="1"/>
  <c r="S465" i="2" s="1"/>
  <c r="N465" i="2" a="1"/>
  <c r="N465" i="2" s="1"/>
  <c r="AG464" i="2" a="1"/>
  <c r="AG464" i="2" s="1"/>
  <c r="AH464" i="2" s="1" a="1"/>
  <c r="AH464" i="2" s="1"/>
  <c r="AI464" i="2" s="1" a="1"/>
  <c r="AI464" i="2" s="1"/>
  <c r="W464" i="2" a="1"/>
  <c r="W464" i="2" s="1"/>
  <c r="S464" i="2" a="1"/>
  <c r="S464" i="2" s="1"/>
  <c r="N464" i="2" a="1"/>
  <c r="N464" i="2" s="1"/>
  <c r="AG463" i="2" a="1"/>
  <c r="AG463" i="2" s="1"/>
  <c r="AH463" i="2" s="1" a="1"/>
  <c r="AH463" i="2" s="1"/>
  <c r="AI463" i="2" s="1" a="1"/>
  <c r="AI463" i="2" s="1"/>
  <c r="W463" i="2" a="1"/>
  <c r="W463" i="2" s="1"/>
  <c r="S463" i="2" a="1"/>
  <c r="S463" i="2" s="1"/>
  <c r="N463" i="2" a="1"/>
  <c r="N463" i="2" s="1"/>
  <c r="AG462" i="2" a="1"/>
  <c r="AG462" i="2" s="1"/>
  <c r="AH462" i="2" s="1" a="1"/>
  <c r="AH462" i="2" s="1"/>
  <c r="AI462" i="2" s="1" a="1"/>
  <c r="AI462" i="2" s="1"/>
  <c r="W462" i="2" a="1"/>
  <c r="W462" i="2" s="1"/>
  <c r="S462" i="2" a="1"/>
  <c r="S462" i="2" s="1"/>
  <c r="N462" i="2" a="1"/>
  <c r="N462" i="2" s="1"/>
  <c r="AG461" i="2" a="1"/>
  <c r="AG461" i="2" s="1"/>
  <c r="AH461" i="2" s="1" a="1"/>
  <c r="AH461" i="2" s="1"/>
  <c r="AI461" i="2" s="1" a="1"/>
  <c r="AI461" i="2" s="1"/>
  <c r="W461" i="2" a="1"/>
  <c r="W461" i="2" s="1"/>
  <c r="S461" i="2" a="1"/>
  <c r="S461" i="2" s="1"/>
  <c r="N461" i="2" a="1"/>
  <c r="N461" i="2" s="1"/>
  <c r="AG460" i="2" a="1"/>
  <c r="AG460" i="2" s="1"/>
  <c r="AH460" i="2" s="1" a="1"/>
  <c r="AH460" i="2" s="1"/>
  <c r="AI460" i="2" s="1" a="1"/>
  <c r="AI460" i="2" s="1"/>
  <c r="W460" i="2" a="1"/>
  <c r="W460" i="2" s="1"/>
  <c r="S460" i="2" a="1"/>
  <c r="S460" i="2" s="1"/>
  <c r="N460" i="2" a="1"/>
  <c r="N460" i="2" s="1"/>
  <c r="AG459" i="2" a="1"/>
  <c r="AG459" i="2" s="1"/>
  <c r="AH459" i="2" s="1" a="1"/>
  <c r="AH459" i="2" s="1"/>
  <c r="AI459" i="2" s="1" a="1"/>
  <c r="AI459" i="2" s="1"/>
  <c r="W459" i="2" a="1"/>
  <c r="W459" i="2" s="1"/>
  <c r="S459" i="2" a="1"/>
  <c r="S459" i="2" s="1"/>
  <c r="N459" i="2" a="1"/>
  <c r="N459" i="2" s="1"/>
  <c r="AG458" i="2" a="1"/>
  <c r="AG458" i="2" s="1"/>
  <c r="AH458" i="2" s="1" a="1"/>
  <c r="AH458" i="2" s="1"/>
  <c r="AI458" i="2" s="1" a="1"/>
  <c r="AI458" i="2" s="1"/>
  <c r="W458" i="2" a="1"/>
  <c r="W458" i="2" s="1"/>
  <c r="S458" i="2" a="1"/>
  <c r="S458" i="2" s="1"/>
  <c r="N458" i="2" a="1"/>
  <c r="N458" i="2" s="1"/>
  <c r="AG457" i="2" a="1"/>
  <c r="AG457" i="2" s="1"/>
  <c r="AH457" i="2" s="1" a="1"/>
  <c r="AH457" i="2" s="1"/>
  <c r="AI457" i="2" s="1" a="1"/>
  <c r="AI457" i="2" s="1"/>
  <c r="W457" i="2" a="1"/>
  <c r="W457" i="2" s="1"/>
  <c r="S457" i="2" a="1"/>
  <c r="S457" i="2" s="1"/>
  <c r="N457" i="2" a="1"/>
  <c r="N457" i="2" s="1"/>
  <c r="AG456" i="2" a="1"/>
  <c r="AG456" i="2" s="1"/>
  <c r="AH456" i="2" s="1" a="1"/>
  <c r="AH456" i="2" s="1"/>
  <c r="AI456" i="2" s="1" a="1"/>
  <c r="AI456" i="2" s="1"/>
  <c r="W456" i="2" a="1"/>
  <c r="W456" i="2" s="1"/>
  <c r="S456" i="2" a="1"/>
  <c r="S456" i="2" s="1"/>
  <c r="N456" i="2" a="1"/>
  <c r="N456" i="2" s="1"/>
  <c r="AG455" i="2" a="1"/>
  <c r="AG455" i="2" s="1"/>
  <c r="AH455" i="2" s="1" a="1"/>
  <c r="AH455" i="2" s="1"/>
  <c r="AI455" i="2" s="1" a="1"/>
  <c r="AI455" i="2" s="1"/>
  <c r="W455" i="2" a="1"/>
  <c r="W455" i="2" s="1"/>
  <c r="S455" i="2" a="1"/>
  <c r="S455" i="2" s="1"/>
  <c r="N455" i="2" a="1"/>
  <c r="N455" i="2" s="1"/>
  <c r="AG454" i="2" a="1"/>
  <c r="AG454" i="2" s="1"/>
  <c r="AH454" i="2" s="1" a="1"/>
  <c r="AH454" i="2" s="1"/>
  <c r="AI454" i="2" s="1" a="1"/>
  <c r="AI454" i="2" s="1"/>
  <c r="W454" i="2" a="1"/>
  <c r="W454" i="2" s="1"/>
  <c r="S454" i="2" a="1"/>
  <c r="S454" i="2" s="1"/>
  <c r="N454" i="2" a="1"/>
  <c r="N454" i="2" s="1"/>
  <c r="AG453" i="2" a="1"/>
  <c r="AG453" i="2" s="1"/>
  <c r="AH453" i="2" s="1" a="1"/>
  <c r="AH453" i="2" s="1"/>
  <c r="AI453" i="2" s="1" a="1"/>
  <c r="AI453" i="2" s="1"/>
  <c r="W453" i="2" a="1"/>
  <c r="W453" i="2" s="1"/>
  <c r="S453" i="2" a="1"/>
  <c r="S453" i="2" s="1"/>
  <c r="N453" i="2" a="1"/>
  <c r="N453" i="2" s="1"/>
  <c r="AG452" i="2" a="1"/>
  <c r="AG452" i="2" s="1"/>
  <c r="AH452" i="2" s="1" a="1"/>
  <c r="AH452" i="2" s="1"/>
  <c r="AI452" i="2" s="1" a="1"/>
  <c r="AI452" i="2" s="1"/>
  <c r="W452" i="2" a="1"/>
  <c r="W452" i="2" s="1"/>
  <c r="S452" i="2" a="1"/>
  <c r="S452" i="2" s="1"/>
  <c r="N452" i="2" a="1"/>
  <c r="N452" i="2" s="1"/>
  <c r="AG451" i="2" a="1"/>
  <c r="AG451" i="2" s="1"/>
  <c r="AH451" i="2" s="1" a="1"/>
  <c r="AH451" i="2" s="1"/>
  <c r="AI451" i="2" s="1" a="1"/>
  <c r="AI451" i="2" s="1"/>
  <c r="W451" i="2" a="1"/>
  <c r="W451" i="2" s="1"/>
  <c r="S451" i="2" a="1"/>
  <c r="S451" i="2" s="1"/>
  <c r="N451" i="2" a="1"/>
  <c r="N451" i="2" s="1"/>
  <c r="AG450" i="2" a="1"/>
  <c r="AG450" i="2" s="1"/>
  <c r="AH450" i="2" s="1" a="1"/>
  <c r="AH450" i="2" s="1"/>
  <c r="AI450" i="2" s="1" a="1"/>
  <c r="AI450" i="2" s="1"/>
  <c r="W450" i="2" a="1"/>
  <c r="W450" i="2" s="1"/>
  <c r="S450" i="2" a="1"/>
  <c r="S450" i="2" s="1"/>
  <c r="N450" i="2" a="1"/>
  <c r="N450" i="2" s="1"/>
  <c r="AG449" i="2" a="1"/>
  <c r="AG449" i="2" s="1"/>
  <c r="AH449" i="2" s="1" a="1"/>
  <c r="AH449" i="2" s="1"/>
  <c r="AI449" i="2" s="1" a="1"/>
  <c r="AI449" i="2" s="1"/>
  <c r="W449" i="2" a="1"/>
  <c r="W449" i="2" s="1"/>
  <c r="S449" i="2" a="1"/>
  <c r="S449" i="2" s="1"/>
  <c r="N449" i="2" a="1"/>
  <c r="N449" i="2" s="1"/>
  <c r="AG448" i="2" a="1"/>
  <c r="AG448" i="2" s="1"/>
  <c r="AH448" i="2" s="1" a="1"/>
  <c r="AH448" i="2" s="1"/>
  <c r="AI448" i="2" s="1" a="1"/>
  <c r="AI448" i="2" s="1"/>
  <c r="W448" i="2" a="1"/>
  <c r="W448" i="2" s="1"/>
  <c r="S448" i="2" a="1"/>
  <c r="S448" i="2" s="1"/>
  <c r="N448" i="2" a="1"/>
  <c r="N448" i="2" s="1"/>
  <c r="AG447" i="2" a="1"/>
  <c r="AG447" i="2" s="1"/>
  <c r="AH447" i="2" s="1" a="1"/>
  <c r="AH447" i="2" s="1"/>
  <c r="AI447" i="2" s="1" a="1"/>
  <c r="AI447" i="2" s="1"/>
  <c r="W447" i="2" a="1"/>
  <c r="W447" i="2" s="1"/>
  <c r="S447" i="2" a="1"/>
  <c r="S447" i="2" s="1"/>
  <c r="N447" i="2" a="1"/>
  <c r="N447" i="2" s="1"/>
  <c r="AG446" i="2" a="1"/>
  <c r="AG446" i="2" s="1"/>
  <c r="AH446" i="2" s="1" a="1"/>
  <c r="AH446" i="2" s="1"/>
  <c r="AI446" i="2" s="1" a="1"/>
  <c r="AI446" i="2" s="1"/>
  <c r="W446" i="2" a="1"/>
  <c r="W446" i="2" s="1"/>
  <c r="S446" i="2" a="1"/>
  <c r="S446" i="2" s="1"/>
  <c r="N446" i="2" a="1"/>
  <c r="N446" i="2" s="1"/>
  <c r="AG445" i="2" a="1"/>
  <c r="AG445" i="2" s="1"/>
  <c r="AH445" i="2" s="1" a="1"/>
  <c r="AH445" i="2" s="1"/>
  <c r="AI445" i="2" s="1" a="1"/>
  <c r="AI445" i="2" s="1"/>
  <c r="W445" i="2" a="1"/>
  <c r="W445" i="2" s="1"/>
  <c r="S445" i="2" a="1"/>
  <c r="S445" i="2" s="1"/>
  <c r="N445" i="2" a="1"/>
  <c r="N445" i="2" s="1"/>
  <c r="AG444" i="2" a="1"/>
  <c r="AG444" i="2" s="1"/>
  <c r="AH444" i="2" s="1" a="1"/>
  <c r="AH444" i="2" s="1"/>
  <c r="AI444" i="2" s="1" a="1"/>
  <c r="AI444" i="2" s="1"/>
  <c r="W444" i="2" a="1"/>
  <c r="W444" i="2" s="1"/>
  <c r="S444" i="2" a="1"/>
  <c r="S444" i="2" s="1"/>
  <c r="N444" i="2" a="1"/>
  <c r="N444" i="2" s="1"/>
  <c r="AG443" i="2" a="1"/>
  <c r="AG443" i="2" s="1"/>
  <c r="AH443" i="2" s="1" a="1"/>
  <c r="AH443" i="2" s="1"/>
  <c r="AI443" i="2" s="1" a="1"/>
  <c r="AI443" i="2" s="1"/>
  <c r="W443" i="2" a="1"/>
  <c r="W443" i="2" s="1"/>
  <c r="S443" i="2" a="1"/>
  <c r="S443" i="2" s="1"/>
  <c r="N443" i="2" a="1"/>
  <c r="N443" i="2" s="1"/>
  <c r="AG442" i="2" a="1"/>
  <c r="AG442" i="2" s="1"/>
  <c r="AH442" i="2" s="1" a="1"/>
  <c r="AH442" i="2" s="1"/>
  <c r="AI442" i="2" s="1" a="1"/>
  <c r="AI442" i="2" s="1"/>
  <c r="W442" i="2" a="1"/>
  <c r="W442" i="2" s="1"/>
  <c r="S442" i="2" a="1"/>
  <c r="S442" i="2" s="1"/>
  <c r="N442" i="2" a="1"/>
  <c r="N442" i="2" s="1"/>
  <c r="AG441" i="2" a="1"/>
  <c r="AG441" i="2" s="1"/>
  <c r="AH441" i="2" s="1" a="1"/>
  <c r="AH441" i="2" s="1"/>
  <c r="AI441" i="2" s="1" a="1"/>
  <c r="AI441" i="2" s="1"/>
  <c r="W441" i="2" a="1"/>
  <c r="W441" i="2" s="1"/>
  <c r="S441" i="2" a="1"/>
  <c r="S441" i="2" s="1"/>
  <c r="N441" i="2" a="1"/>
  <c r="N441" i="2" s="1"/>
  <c r="AG440" i="2" a="1"/>
  <c r="AG440" i="2" s="1"/>
  <c r="AH440" i="2" s="1" a="1"/>
  <c r="AH440" i="2" s="1"/>
  <c r="AI440" i="2" s="1" a="1"/>
  <c r="AI440" i="2" s="1"/>
  <c r="W440" i="2" a="1"/>
  <c r="W440" i="2" s="1"/>
  <c r="S440" i="2" a="1"/>
  <c r="S440" i="2" s="1"/>
  <c r="N440" i="2" a="1"/>
  <c r="N440" i="2" s="1"/>
  <c r="AG439" i="2" a="1"/>
  <c r="AG439" i="2" s="1"/>
  <c r="AH439" i="2" s="1" a="1"/>
  <c r="AH439" i="2" s="1"/>
  <c r="AI439" i="2" s="1" a="1"/>
  <c r="AI439" i="2" s="1"/>
  <c r="W439" i="2" a="1"/>
  <c r="W439" i="2" s="1"/>
  <c r="S439" i="2" a="1"/>
  <c r="S439" i="2" s="1"/>
  <c r="N439" i="2" a="1"/>
  <c r="N439" i="2" s="1"/>
  <c r="AG438" i="2" a="1"/>
  <c r="AG438" i="2" s="1"/>
  <c r="AH438" i="2" s="1" a="1"/>
  <c r="AH438" i="2" s="1"/>
  <c r="AI438" i="2" s="1" a="1"/>
  <c r="AI438" i="2" s="1"/>
  <c r="W438" i="2" a="1"/>
  <c r="W438" i="2" s="1"/>
  <c r="S438" i="2" a="1"/>
  <c r="S438" i="2" s="1"/>
  <c r="N438" i="2" a="1"/>
  <c r="N438" i="2" s="1"/>
  <c r="AG437" i="2" a="1"/>
  <c r="AG437" i="2" s="1"/>
  <c r="AH437" i="2" s="1" a="1"/>
  <c r="AH437" i="2" s="1"/>
  <c r="AI437" i="2" s="1" a="1"/>
  <c r="AI437" i="2" s="1"/>
  <c r="W437" i="2" a="1"/>
  <c r="W437" i="2" s="1"/>
  <c r="S437" i="2" a="1"/>
  <c r="S437" i="2" s="1"/>
  <c r="N437" i="2" a="1"/>
  <c r="N437" i="2" s="1"/>
  <c r="AG436" i="2" a="1"/>
  <c r="AG436" i="2" s="1"/>
  <c r="AH436" i="2" s="1" a="1"/>
  <c r="AH436" i="2" s="1"/>
  <c r="AI436" i="2" s="1" a="1"/>
  <c r="AI436" i="2" s="1"/>
  <c r="W436" i="2" a="1"/>
  <c r="W436" i="2" s="1"/>
  <c r="S436" i="2" a="1"/>
  <c r="S436" i="2" s="1"/>
  <c r="N436" i="2" a="1"/>
  <c r="N436" i="2" s="1"/>
  <c r="AG435" i="2" a="1"/>
  <c r="AG435" i="2" s="1"/>
  <c r="AH435" i="2" s="1" a="1"/>
  <c r="AH435" i="2" s="1"/>
  <c r="AI435" i="2" s="1" a="1"/>
  <c r="AI435" i="2" s="1"/>
  <c r="W435" i="2" a="1"/>
  <c r="W435" i="2" s="1"/>
  <c r="S435" i="2" a="1"/>
  <c r="S435" i="2" s="1"/>
  <c r="N435" i="2" a="1"/>
  <c r="N435" i="2" s="1"/>
  <c r="AG434" i="2" a="1"/>
  <c r="AG434" i="2" s="1"/>
  <c r="AH434" i="2" s="1" a="1"/>
  <c r="AH434" i="2" s="1"/>
  <c r="AI434" i="2" s="1" a="1"/>
  <c r="AI434" i="2" s="1"/>
  <c r="W434" i="2" a="1"/>
  <c r="W434" i="2" s="1"/>
  <c r="S434" i="2" a="1"/>
  <c r="S434" i="2" s="1"/>
  <c r="N434" i="2" a="1"/>
  <c r="N434" i="2" s="1"/>
  <c r="AG433" i="2" a="1"/>
  <c r="AG433" i="2" s="1"/>
  <c r="AH433" i="2" s="1" a="1"/>
  <c r="AH433" i="2" s="1"/>
  <c r="AI433" i="2" s="1" a="1"/>
  <c r="AI433" i="2" s="1"/>
  <c r="W433" i="2" a="1"/>
  <c r="W433" i="2" s="1"/>
  <c r="S433" i="2" a="1"/>
  <c r="S433" i="2" s="1"/>
  <c r="N433" i="2" a="1"/>
  <c r="N433" i="2" s="1"/>
  <c r="AG432" i="2" a="1"/>
  <c r="AG432" i="2" s="1"/>
  <c r="AH432" i="2" s="1" a="1"/>
  <c r="AH432" i="2" s="1"/>
  <c r="AI432" i="2" s="1" a="1"/>
  <c r="AI432" i="2" s="1"/>
  <c r="W432" i="2" a="1"/>
  <c r="W432" i="2"/>
  <c r="S432" i="2" a="1"/>
  <c r="S432" i="2" s="1"/>
  <c r="N432" i="2" a="1"/>
  <c r="N432" i="2" s="1"/>
  <c r="AG431" i="2" a="1"/>
  <c r="AG431" i="2" s="1"/>
  <c r="AH431" i="2" s="1" a="1"/>
  <c r="AH431" i="2" s="1"/>
  <c r="AI431" i="2" s="1" a="1"/>
  <c r="AI431" i="2" s="1"/>
  <c r="W431" i="2" a="1"/>
  <c r="W431" i="2" s="1"/>
  <c r="S431" i="2" a="1"/>
  <c r="S431" i="2" s="1"/>
  <c r="N431" i="2" a="1"/>
  <c r="N431" i="2" s="1"/>
  <c r="AG430" i="2" a="1"/>
  <c r="AG430" i="2" s="1"/>
  <c r="AH430" i="2" s="1" a="1"/>
  <c r="AH430" i="2" s="1"/>
  <c r="AI430" i="2" s="1" a="1"/>
  <c r="AI430" i="2" s="1"/>
  <c r="W430" i="2" a="1"/>
  <c r="W430" i="2" s="1"/>
  <c r="S430" i="2" a="1"/>
  <c r="S430" i="2" s="1"/>
  <c r="N430" i="2" a="1"/>
  <c r="N430" i="2" s="1"/>
  <c r="AG429" i="2" a="1"/>
  <c r="AG429" i="2" s="1"/>
  <c r="AH429" i="2" s="1" a="1"/>
  <c r="AH429" i="2" s="1"/>
  <c r="AI429" i="2" s="1" a="1"/>
  <c r="AI429" i="2" s="1"/>
  <c r="W429" i="2" a="1"/>
  <c r="W429" i="2" s="1"/>
  <c r="S429" i="2" a="1"/>
  <c r="S429" i="2" s="1"/>
  <c r="N429" i="2" a="1"/>
  <c r="N429" i="2" s="1"/>
  <c r="AG428" i="2" a="1"/>
  <c r="AG428" i="2" s="1"/>
  <c r="AH428" i="2" s="1" a="1"/>
  <c r="AH428" i="2" s="1"/>
  <c r="AI428" i="2" s="1" a="1"/>
  <c r="AI428" i="2" s="1"/>
  <c r="W428" i="2" a="1"/>
  <c r="W428" i="2" s="1"/>
  <c r="S428" i="2" a="1"/>
  <c r="S428" i="2" s="1"/>
  <c r="N428" i="2" a="1"/>
  <c r="N428" i="2" s="1"/>
  <c r="AG427" i="2" a="1"/>
  <c r="AG427" i="2" s="1"/>
  <c r="AH427" i="2" s="1" a="1"/>
  <c r="AH427" i="2" s="1"/>
  <c r="AI427" i="2" s="1" a="1"/>
  <c r="AI427" i="2" s="1"/>
  <c r="W427" i="2" a="1"/>
  <c r="W427" i="2" s="1"/>
  <c r="S427" i="2" a="1"/>
  <c r="S427" i="2" s="1"/>
  <c r="N427" i="2" a="1"/>
  <c r="N427" i="2" s="1"/>
  <c r="AG426" i="2" a="1"/>
  <c r="AG426" i="2" s="1"/>
  <c r="AH426" i="2" s="1" a="1"/>
  <c r="AH426" i="2" s="1"/>
  <c r="AI426" i="2" s="1" a="1"/>
  <c r="AI426" i="2" s="1"/>
  <c r="W426" i="2" a="1"/>
  <c r="W426" i="2" s="1"/>
  <c r="S426" i="2" a="1"/>
  <c r="S426" i="2" s="1"/>
  <c r="N426" i="2" a="1"/>
  <c r="N426" i="2" s="1"/>
  <c r="AG425" i="2" a="1"/>
  <c r="AG425" i="2" s="1"/>
  <c r="AH425" i="2" s="1" a="1"/>
  <c r="AH425" i="2" s="1"/>
  <c r="AI425" i="2" s="1" a="1"/>
  <c r="AI425" i="2" s="1"/>
  <c r="W425" i="2" a="1"/>
  <c r="W425" i="2" s="1"/>
  <c r="S425" i="2" a="1"/>
  <c r="S425" i="2"/>
  <c r="N425" i="2" a="1"/>
  <c r="N425" i="2" s="1"/>
  <c r="AG424" i="2" a="1"/>
  <c r="AG424" i="2" s="1"/>
  <c r="AH424" i="2" s="1" a="1"/>
  <c r="AH424" i="2" s="1"/>
  <c r="AI424" i="2" s="1" a="1"/>
  <c r="AI424" i="2" s="1"/>
  <c r="W424" i="2" a="1"/>
  <c r="W424" i="2" s="1"/>
  <c r="S424" i="2" a="1"/>
  <c r="S424" i="2" s="1"/>
  <c r="N424" i="2" a="1"/>
  <c r="N424" i="2" s="1"/>
  <c r="AG423" i="2" a="1"/>
  <c r="AG423" i="2" s="1"/>
  <c r="AH423" i="2" s="1" a="1"/>
  <c r="AH423" i="2" s="1"/>
  <c r="AI423" i="2" s="1" a="1"/>
  <c r="AI423" i="2" s="1"/>
  <c r="W423" i="2" a="1"/>
  <c r="W423" i="2" s="1"/>
  <c r="S423" i="2" a="1"/>
  <c r="S423" i="2" s="1"/>
  <c r="N423" i="2" a="1"/>
  <c r="N423" i="2" s="1"/>
  <c r="AG422" i="2" a="1"/>
  <c r="AG422" i="2" s="1"/>
  <c r="AH422" i="2" s="1" a="1"/>
  <c r="AH422" i="2" s="1"/>
  <c r="AI422" i="2" s="1" a="1"/>
  <c r="AI422" i="2" s="1"/>
  <c r="W422" i="2" a="1"/>
  <c r="W422" i="2" s="1"/>
  <c r="S422" i="2" a="1"/>
  <c r="S422" i="2" s="1"/>
  <c r="N422" i="2" a="1"/>
  <c r="N422" i="2" s="1"/>
  <c r="AG421" i="2" a="1"/>
  <c r="AG421" i="2" s="1"/>
  <c r="AH421" i="2" s="1" a="1"/>
  <c r="AH421" i="2" s="1"/>
  <c r="AI421" i="2" s="1" a="1"/>
  <c r="AI421" i="2" s="1"/>
  <c r="W421" i="2" a="1"/>
  <c r="W421" i="2" s="1"/>
  <c r="S421" i="2" a="1"/>
  <c r="S421" i="2" s="1"/>
  <c r="N421" i="2" a="1"/>
  <c r="N421" i="2" s="1"/>
  <c r="L421" i="2" a="1"/>
  <c r="L421" i="2" s="1"/>
  <c r="AG420" i="2" a="1"/>
  <c r="AG420" i="2" s="1"/>
  <c r="AH420" i="2" s="1" a="1"/>
  <c r="AH420" i="2" s="1"/>
  <c r="AI420" i="2" s="1" a="1"/>
  <c r="AI420" i="2" s="1"/>
  <c r="W420" i="2" a="1"/>
  <c r="W420" i="2" s="1"/>
  <c r="S420" i="2" a="1"/>
  <c r="S420" i="2" s="1"/>
  <c r="N420" i="2" a="1"/>
  <c r="N420" i="2" s="1"/>
  <c r="L420" i="2" a="1"/>
  <c r="L420" i="2" s="1"/>
  <c r="AG419" i="2" a="1"/>
  <c r="AG419" i="2" s="1"/>
  <c r="AH419" i="2" s="1" a="1"/>
  <c r="AH419" i="2" s="1"/>
  <c r="AI419" i="2" s="1" a="1"/>
  <c r="AI419" i="2" s="1"/>
  <c r="W419" i="2" a="1"/>
  <c r="W419" i="2" s="1"/>
  <c r="S419" i="2" a="1"/>
  <c r="S419" i="2" s="1"/>
  <c r="N419" i="2" a="1"/>
  <c r="N419" i="2" s="1"/>
  <c r="L419" i="2" a="1"/>
  <c r="L419" i="2" s="1"/>
  <c r="AG418" i="2" a="1"/>
  <c r="AG418" i="2" s="1"/>
  <c r="AH418" i="2" s="1" a="1"/>
  <c r="AH418" i="2" s="1"/>
  <c r="AI418" i="2" s="1" a="1"/>
  <c r="AI418" i="2" s="1"/>
  <c r="W418" i="2" a="1"/>
  <c r="W418" i="2" s="1"/>
  <c r="S418" i="2" a="1"/>
  <c r="S418" i="2" s="1"/>
  <c r="N418" i="2" a="1"/>
  <c r="N418" i="2" s="1"/>
  <c r="L418" i="2" a="1"/>
  <c r="L418" i="2" s="1"/>
  <c r="AG417" i="2" a="1"/>
  <c r="AG417" i="2" s="1"/>
  <c r="AH417" i="2" s="1" a="1"/>
  <c r="AH417" i="2" s="1"/>
  <c r="AI417" i="2" s="1" a="1"/>
  <c r="AI417" i="2" s="1"/>
  <c r="W417" i="2" a="1"/>
  <c r="W417" i="2" s="1"/>
  <c r="S417" i="2" a="1"/>
  <c r="S417" i="2" s="1"/>
  <c r="N417" i="2" a="1"/>
  <c r="N417" i="2" s="1"/>
  <c r="L417" i="2" a="1"/>
  <c r="L417" i="2" s="1"/>
  <c r="AG416" i="2" a="1"/>
  <c r="AG416" i="2" s="1"/>
  <c r="AH416" i="2" s="1" a="1"/>
  <c r="AH416" i="2" s="1"/>
  <c r="AI416" i="2" s="1" a="1"/>
  <c r="AI416" i="2" s="1"/>
  <c r="W416" i="2" a="1"/>
  <c r="W416" i="2" s="1"/>
  <c r="S416" i="2" a="1"/>
  <c r="S416" i="2" s="1"/>
  <c r="N416" i="2" a="1"/>
  <c r="N416" i="2" s="1"/>
  <c r="L416" i="2" a="1"/>
  <c r="L416" i="2" s="1"/>
  <c r="AG415" i="2" a="1"/>
  <c r="AG415" i="2" s="1"/>
  <c r="AH415" i="2" s="1" a="1"/>
  <c r="AH415" i="2" s="1"/>
  <c r="AI415" i="2" s="1" a="1"/>
  <c r="AI415" i="2" s="1"/>
  <c r="W415" i="2" a="1"/>
  <c r="W415" i="2" s="1"/>
  <c r="S415" i="2" a="1"/>
  <c r="S415" i="2" s="1"/>
  <c r="N415" i="2" a="1"/>
  <c r="N415" i="2" s="1"/>
  <c r="L415" i="2" a="1"/>
  <c r="L415" i="2" s="1"/>
  <c r="AG414" i="2" a="1"/>
  <c r="AG414" i="2" s="1"/>
  <c r="AH414" i="2" s="1" a="1"/>
  <c r="AH414" i="2" s="1"/>
  <c r="AI414" i="2" s="1" a="1"/>
  <c r="AI414" i="2" s="1"/>
  <c r="W414" i="2" a="1"/>
  <c r="W414" i="2" s="1"/>
  <c r="S414" i="2" a="1"/>
  <c r="S414" i="2" s="1"/>
  <c r="N414" i="2" a="1"/>
  <c r="N414" i="2" s="1"/>
  <c r="L414" i="2" a="1"/>
  <c r="L414" i="2" s="1"/>
  <c r="AG413" i="2" a="1"/>
  <c r="AG413" i="2" s="1"/>
  <c r="AH413" i="2" s="1" a="1"/>
  <c r="AH413" i="2" s="1"/>
  <c r="AI413" i="2" s="1" a="1"/>
  <c r="AI413" i="2" s="1"/>
  <c r="W413" i="2" a="1"/>
  <c r="W413" i="2" s="1"/>
  <c r="S413" i="2" a="1"/>
  <c r="S413" i="2" s="1"/>
  <c r="N413" i="2" a="1"/>
  <c r="N413" i="2" s="1"/>
  <c r="L413" i="2" a="1"/>
  <c r="L413" i="2" s="1"/>
  <c r="AG412" i="2" a="1"/>
  <c r="AG412" i="2" s="1"/>
  <c r="AH412" i="2" s="1" a="1"/>
  <c r="AH412" i="2" s="1"/>
  <c r="AI412" i="2" s="1" a="1"/>
  <c r="AI412" i="2" s="1"/>
  <c r="W412" i="2" a="1"/>
  <c r="W412" i="2" s="1"/>
  <c r="S412" i="2" a="1"/>
  <c r="S412" i="2" s="1"/>
  <c r="N412" i="2" a="1"/>
  <c r="N412" i="2" s="1"/>
  <c r="L412" i="2" a="1"/>
  <c r="L412" i="2" s="1"/>
  <c r="AG411" i="2" a="1"/>
  <c r="AG411" i="2" s="1"/>
  <c r="AH411" i="2" s="1" a="1"/>
  <c r="AH411" i="2" s="1"/>
  <c r="AI411" i="2" s="1" a="1"/>
  <c r="AI411" i="2" s="1"/>
  <c r="W411" i="2" a="1"/>
  <c r="W411" i="2" s="1"/>
  <c r="S411" i="2" a="1"/>
  <c r="S411" i="2" s="1"/>
  <c r="N411" i="2" a="1"/>
  <c r="N411" i="2" s="1"/>
  <c r="L411" i="2" a="1"/>
  <c r="L411" i="2" s="1"/>
  <c r="AG410" i="2" a="1"/>
  <c r="AG410" i="2" s="1"/>
  <c r="AH410" i="2" s="1" a="1"/>
  <c r="AH410" i="2" s="1"/>
  <c r="AI410" i="2" s="1" a="1"/>
  <c r="AI410" i="2" s="1"/>
  <c r="W410" i="2" a="1"/>
  <c r="W410" i="2" s="1"/>
  <c r="S410" i="2" a="1"/>
  <c r="S410" i="2" s="1"/>
  <c r="N410" i="2" a="1"/>
  <c r="N410" i="2" s="1"/>
  <c r="L410" i="2" a="1"/>
  <c r="L410" i="2" s="1"/>
  <c r="AG409" i="2" a="1"/>
  <c r="AG409" i="2" s="1"/>
  <c r="AH409" i="2" s="1" a="1"/>
  <c r="AH409" i="2" s="1"/>
  <c r="AI409" i="2" s="1" a="1"/>
  <c r="AI409" i="2" s="1"/>
  <c r="W409" i="2" a="1"/>
  <c r="W409" i="2" s="1"/>
  <c r="S409" i="2" a="1"/>
  <c r="S409" i="2" s="1"/>
  <c r="N409" i="2" a="1"/>
  <c r="N409" i="2" s="1"/>
  <c r="L409" i="2" a="1"/>
  <c r="L409" i="2" s="1"/>
  <c r="AG408" i="2" a="1"/>
  <c r="AG408" i="2" s="1"/>
  <c r="AH408" i="2" s="1" a="1"/>
  <c r="AH408" i="2" s="1"/>
  <c r="AI408" i="2" s="1" a="1"/>
  <c r="AI408" i="2" s="1"/>
  <c r="W408" i="2" a="1"/>
  <c r="W408" i="2" s="1"/>
  <c r="S408" i="2" a="1"/>
  <c r="S408" i="2" s="1"/>
  <c r="N408" i="2" a="1"/>
  <c r="N408" i="2" s="1"/>
  <c r="L408" i="2" a="1"/>
  <c r="L408" i="2" s="1"/>
  <c r="AG407" i="2" a="1"/>
  <c r="AG407" i="2" s="1"/>
  <c r="AH407" i="2" s="1" a="1"/>
  <c r="AH407" i="2" s="1"/>
  <c r="AI407" i="2" s="1" a="1"/>
  <c r="AI407" i="2" s="1"/>
  <c r="W407" i="2" a="1"/>
  <c r="W407" i="2" s="1"/>
  <c r="S407" i="2" a="1"/>
  <c r="S407" i="2" s="1"/>
  <c r="N407" i="2" a="1"/>
  <c r="N407" i="2" s="1"/>
  <c r="L407" i="2" a="1"/>
  <c r="L407" i="2" s="1"/>
  <c r="AG406" i="2" a="1"/>
  <c r="AG406" i="2" s="1"/>
  <c r="AH406" i="2" s="1" a="1"/>
  <c r="AH406" i="2" s="1"/>
  <c r="AI406" i="2" s="1" a="1"/>
  <c r="AI406" i="2" s="1"/>
  <c r="W406" i="2" a="1"/>
  <c r="W406" i="2" s="1"/>
  <c r="S406" i="2" a="1"/>
  <c r="S406" i="2" s="1"/>
  <c r="N406" i="2" a="1"/>
  <c r="N406" i="2" s="1"/>
  <c r="L406" i="2" a="1"/>
  <c r="L406" i="2" s="1"/>
  <c r="AG405" i="2" a="1"/>
  <c r="AG405" i="2" s="1"/>
  <c r="AH405" i="2" s="1" a="1"/>
  <c r="AH405" i="2" s="1"/>
  <c r="AI405" i="2" s="1" a="1"/>
  <c r="AI405" i="2" s="1"/>
  <c r="W405" i="2" a="1"/>
  <c r="W405" i="2" s="1"/>
  <c r="S405" i="2" a="1"/>
  <c r="S405" i="2" s="1"/>
  <c r="N405" i="2" a="1"/>
  <c r="N405" i="2" s="1"/>
  <c r="L405" i="2" a="1"/>
  <c r="L405" i="2" s="1"/>
  <c r="AG404" i="2" a="1"/>
  <c r="AG404" i="2" s="1"/>
  <c r="AH404" i="2" s="1" a="1"/>
  <c r="AH404" i="2" s="1"/>
  <c r="AI404" i="2" s="1" a="1"/>
  <c r="AI404" i="2" s="1"/>
  <c r="W404" i="2" a="1"/>
  <c r="W404" i="2" s="1"/>
  <c r="S404" i="2" a="1"/>
  <c r="S404" i="2" s="1"/>
  <c r="N404" i="2" a="1"/>
  <c r="N404" i="2" s="1"/>
  <c r="L404" i="2" a="1"/>
  <c r="L404" i="2" s="1"/>
  <c r="AG403" i="2" a="1"/>
  <c r="AG403" i="2" s="1"/>
  <c r="AH403" i="2" s="1" a="1"/>
  <c r="AH403" i="2" s="1"/>
  <c r="AI403" i="2" s="1" a="1"/>
  <c r="AI403" i="2" s="1"/>
  <c r="W403" i="2" a="1"/>
  <c r="W403" i="2" s="1"/>
  <c r="S403" i="2" a="1"/>
  <c r="S403" i="2" s="1"/>
  <c r="N403" i="2" a="1"/>
  <c r="N403" i="2" s="1"/>
  <c r="L403" i="2" a="1"/>
  <c r="L403" i="2" s="1"/>
  <c r="AG402" i="2" a="1"/>
  <c r="AG402" i="2" s="1"/>
  <c r="AH402" i="2" s="1" a="1"/>
  <c r="AH402" i="2" s="1"/>
  <c r="AI402" i="2" s="1" a="1"/>
  <c r="AI402" i="2" s="1"/>
  <c r="W402" i="2" a="1"/>
  <c r="W402" i="2" s="1"/>
  <c r="S402" i="2" a="1"/>
  <c r="S402" i="2" s="1"/>
  <c r="N402" i="2" a="1"/>
  <c r="N402" i="2" s="1"/>
  <c r="L402" i="2" a="1"/>
  <c r="L402" i="2" s="1"/>
  <c r="AG401" i="2" a="1"/>
  <c r="AG401" i="2" s="1"/>
  <c r="AH401" i="2" s="1" a="1"/>
  <c r="AH401" i="2" s="1"/>
  <c r="AI401" i="2" s="1" a="1"/>
  <c r="AI401" i="2" s="1"/>
  <c r="W401" i="2" a="1"/>
  <c r="W401" i="2" s="1"/>
  <c r="S401" i="2" a="1"/>
  <c r="S401" i="2" s="1"/>
  <c r="N401" i="2" a="1"/>
  <c r="N401" i="2" s="1"/>
  <c r="L401" i="2" a="1"/>
  <c r="L401" i="2" s="1"/>
  <c r="AG400" i="2" a="1"/>
  <c r="AG400" i="2" s="1"/>
  <c r="AH400" i="2" s="1" a="1"/>
  <c r="AH400" i="2" s="1"/>
  <c r="AI400" i="2" s="1" a="1"/>
  <c r="AI400" i="2" s="1"/>
  <c r="W400" i="2" a="1"/>
  <c r="W400" i="2" s="1"/>
  <c r="S400" i="2" a="1"/>
  <c r="S400" i="2" s="1"/>
  <c r="N400" i="2" a="1"/>
  <c r="N400" i="2" s="1"/>
  <c r="L400" i="2" a="1"/>
  <c r="L400" i="2" s="1"/>
  <c r="AG399" i="2" a="1"/>
  <c r="AG399" i="2" s="1"/>
  <c r="AH399" i="2" s="1" a="1"/>
  <c r="AH399" i="2" s="1"/>
  <c r="AI399" i="2" s="1" a="1"/>
  <c r="AI399" i="2" s="1"/>
  <c r="W399" i="2" a="1"/>
  <c r="W399" i="2" s="1"/>
  <c r="S399" i="2" a="1"/>
  <c r="S399" i="2" s="1"/>
  <c r="N399" i="2" a="1"/>
  <c r="N399" i="2" s="1"/>
  <c r="L399" i="2" a="1"/>
  <c r="L399" i="2" s="1"/>
  <c r="AG398" i="2" a="1"/>
  <c r="AG398" i="2" s="1"/>
  <c r="AH398" i="2" s="1" a="1"/>
  <c r="AH398" i="2" s="1"/>
  <c r="AI398" i="2" s="1" a="1"/>
  <c r="AI398" i="2" s="1"/>
  <c r="W398" i="2" a="1"/>
  <c r="W398" i="2" s="1"/>
  <c r="S398" i="2" a="1"/>
  <c r="S398" i="2" s="1"/>
  <c r="N398" i="2" a="1"/>
  <c r="N398" i="2"/>
  <c r="L398" i="2" a="1"/>
  <c r="L398" i="2" s="1"/>
  <c r="AG397" i="2" a="1"/>
  <c r="AG397" i="2" s="1"/>
  <c r="AH397" i="2" s="1" a="1"/>
  <c r="AH397" i="2" s="1"/>
  <c r="AI397" i="2" s="1" a="1"/>
  <c r="AI397" i="2" s="1"/>
  <c r="W397" i="2" a="1"/>
  <c r="W397" i="2" s="1"/>
  <c r="S397" i="2" a="1"/>
  <c r="S397" i="2" s="1"/>
  <c r="N397" i="2" a="1"/>
  <c r="N397" i="2" s="1"/>
  <c r="L397" i="2" a="1"/>
  <c r="L397" i="2" s="1"/>
  <c r="AG396" i="2" a="1"/>
  <c r="AG396" i="2" s="1"/>
  <c r="AH396" i="2" s="1" a="1"/>
  <c r="AH396" i="2" s="1"/>
  <c r="AI396" i="2" s="1" a="1"/>
  <c r="AI396" i="2" s="1"/>
  <c r="W396" i="2" a="1"/>
  <c r="W396" i="2" s="1"/>
  <c r="S396" i="2" a="1"/>
  <c r="S396" i="2" s="1"/>
  <c r="N396" i="2" a="1"/>
  <c r="N396" i="2" s="1"/>
  <c r="L396" i="2" a="1"/>
  <c r="L396" i="2" s="1"/>
  <c r="AG395" i="2" a="1"/>
  <c r="AG395" i="2" s="1"/>
  <c r="AH395" i="2" s="1" a="1"/>
  <c r="AH395" i="2" s="1"/>
  <c r="AI395" i="2" s="1" a="1"/>
  <c r="AI395" i="2" s="1"/>
  <c r="W395" i="2" a="1"/>
  <c r="W395" i="2" s="1"/>
  <c r="S395" i="2" a="1"/>
  <c r="S395" i="2" s="1"/>
  <c r="N395" i="2" a="1"/>
  <c r="N395" i="2" s="1"/>
  <c r="L395" i="2" a="1"/>
  <c r="L395" i="2" s="1"/>
  <c r="AG394" i="2" a="1"/>
  <c r="AG394" i="2" s="1"/>
  <c r="AH394" i="2" s="1" a="1"/>
  <c r="AH394" i="2" s="1"/>
  <c r="AI394" i="2" s="1" a="1"/>
  <c r="AI394" i="2" s="1"/>
  <c r="W394" i="2" a="1"/>
  <c r="W394" i="2" s="1"/>
  <c r="S394" i="2" a="1"/>
  <c r="S394" i="2" s="1"/>
  <c r="N394" i="2" a="1"/>
  <c r="N394" i="2" s="1"/>
  <c r="L394" i="2" a="1"/>
  <c r="L394" i="2" s="1"/>
  <c r="AG393" i="2" a="1"/>
  <c r="AG393" i="2" s="1"/>
  <c r="AH393" i="2" s="1" a="1"/>
  <c r="AH393" i="2" s="1"/>
  <c r="AI393" i="2" s="1" a="1"/>
  <c r="AI393" i="2" s="1"/>
  <c r="W393" i="2" a="1"/>
  <c r="W393" i="2" s="1"/>
  <c r="S393" i="2" a="1"/>
  <c r="S393" i="2" s="1"/>
  <c r="N393" i="2" a="1"/>
  <c r="N393" i="2" s="1"/>
  <c r="L393" i="2" a="1"/>
  <c r="L393" i="2" s="1"/>
  <c r="AG392" i="2" a="1"/>
  <c r="AG392" i="2" s="1"/>
  <c r="AH392" i="2" s="1" a="1"/>
  <c r="AH392" i="2" s="1"/>
  <c r="AI392" i="2" s="1" a="1"/>
  <c r="AI392" i="2" s="1"/>
  <c r="W392" i="2" a="1"/>
  <c r="W392" i="2" s="1"/>
  <c r="S392" i="2" a="1"/>
  <c r="S392" i="2" s="1"/>
  <c r="N392" i="2" a="1"/>
  <c r="N392" i="2" s="1"/>
  <c r="L392" i="2" a="1"/>
  <c r="L392" i="2" s="1"/>
  <c r="AG391" i="2" a="1"/>
  <c r="AG391" i="2" s="1"/>
  <c r="AH391" i="2" s="1" a="1"/>
  <c r="AH391" i="2" s="1"/>
  <c r="AI391" i="2" s="1" a="1"/>
  <c r="AI391" i="2" s="1"/>
  <c r="W391" i="2" a="1"/>
  <c r="W391" i="2" s="1"/>
  <c r="S391" i="2" a="1"/>
  <c r="S391" i="2" s="1"/>
  <c r="N391" i="2" a="1"/>
  <c r="N391" i="2" s="1"/>
  <c r="L391" i="2" a="1"/>
  <c r="L391" i="2" s="1"/>
  <c r="AG390" i="2" a="1"/>
  <c r="AG390" i="2" s="1"/>
  <c r="AH390" i="2" s="1" a="1"/>
  <c r="AH390" i="2" s="1"/>
  <c r="AI390" i="2" s="1" a="1"/>
  <c r="AI390" i="2" s="1"/>
  <c r="W390" i="2" a="1"/>
  <c r="W390" i="2" s="1"/>
  <c r="S390" i="2" a="1"/>
  <c r="S390" i="2" s="1"/>
  <c r="N390" i="2" a="1"/>
  <c r="N390" i="2" s="1"/>
  <c r="L390" i="2" a="1"/>
  <c r="L390" i="2" s="1"/>
  <c r="AG389" i="2" a="1"/>
  <c r="AG389" i="2" s="1"/>
  <c r="AH389" i="2" s="1" a="1"/>
  <c r="AH389" i="2" s="1"/>
  <c r="AI389" i="2" s="1" a="1"/>
  <c r="AI389" i="2" s="1"/>
  <c r="W389" i="2" a="1"/>
  <c r="W389" i="2" s="1"/>
  <c r="S389" i="2" a="1"/>
  <c r="S389" i="2" s="1"/>
  <c r="N389" i="2" a="1"/>
  <c r="N389" i="2" s="1"/>
  <c r="L389" i="2" a="1"/>
  <c r="L389" i="2" s="1"/>
  <c r="AG388" i="2" a="1"/>
  <c r="AG388" i="2" s="1"/>
  <c r="AH388" i="2" s="1" a="1"/>
  <c r="AH388" i="2" s="1"/>
  <c r="AI388" i="2" s="1" a="1"/>
  <c r="AI388" i="2" s="1"/>
  <c r="W388" i="2" a="1"/>
  <c r="W388" i="2" s="1"/>
  <c r="S388" i="2" a="1"/>
  <c r="S388" i="2" s="1"/>
  <c r="N388" i="2" a="1"/>
  <c r="N388" i="2" s="1"/>
  <c r="L388" i="2" a="1"/>
  <c r="L388" i="2" s="1"/>
  <c r="AG387" i="2" a="1"/>
  <c r="AG387" i="2" s="1"/>
  <c r="AH387" i="2" s="1" a="1"/>
  <c r="AH387" i="2" s="1"/>
  <c r="AI387" i="2" s="1" a="1"/>
  <c r="AI387" i="2" s="1"/>
  <c r="W387" i="2" a="1"/>
  <c r="W387" i="2" s="1"/>
  <c r="S387" i="2" a="1"/>
  <c r="S387" i="2" s="1"/>
  <c r="N387" i="2" a="1"/>
  <c r="N387" i="2" s="1"/>
  <c r="L387" i="2" a="1"/>
  <c r="L387" i="2" s="1"/>
  <c r="AG386" i="2" a="1"/>
  <c r="AG386" i="2" s="1"/>
  <c r="AH386" i="2" s="1" a="1"/>
  <c r="AH386" i="2" s="1"/>
  <c r="AI386" i="2" s="1" a="1"/>
  <c r="AI386" i="2" s="1"/>
  <c r="W386" i="2" a="1"/>
  <c r="W386" i="2" s="1"/>
  <c r="S386" i="2" a="1"/>
  <c r="S386" i="2" s="1"/>
  <c r="N386" i="2" a="1"/>
  <c r="N386" i="2" s="1"/>
  <c r="L386" i="2" a="1"/>
  <c r="L386" i="2" s="1"/>
  <c r="AG385" i="2" a="1"/>
  <c r="AG385" i="2" s="1"/>
  <c r="AH385" i="2" s="1" a="1"/>
  <c r="AH385" i="2" s="1"/>
  <c r="AI385" i="2" s="1" a="1"/>
  <c r="AI385" i="2" s="1"/>
  <c r="W385" i="2" a="1"/>
  <c r="W385" i="2" s="1"/>
  <c r="S385" i="2" a="1"/>
  <c r="S385" i="2" s="1"/>
  <c r="N385" i="2" a="1"/>
  <c r="N385" i="2" s="1"/>
  <c r="L385" i="2" a="1"/>
  <c r="L385" i="2" s="1"/>
  <c r="AG384" i="2" a="1"/>
  <c r="AG384" i="2" s="1"/>
  <c r="AH384" i="2" s="1" a="1"/>
  <c r="AH384" i="2" s="1"/>
  <c r="AI384" i="2" s="1" a="1"/>
  <c r="AI384" i="2" s="1"/>
  <c r="W384" i="2" a="1"/>
  <c r="W384" i="2" s="1"/>
  <c r="S384" i="2" a="1"/>
  <c r="S384" i="2" s="1"/>
  <c r="N384" i="2" a="1"/>
  <c r="N384" i="2" s="1"/>
  <c r="L384" i="2" a="1"/>
  <c r="L384" i="2" s="1"/>
  <c r="AG383" i="2" a="1"/>
  <c r="AG383" i="2" s="1"/>
  <c r="AH383" i="2" s="1" a="1"/>
  <c r="AH383" i="2" s="1"/>
  <c r="AI383" i="2" s="1" a="1"/>
  <c r="AI383" i="2" s="1"/>
  <c r="W383" i="2" a="1"/>
  <c r="W383" i="2" s="1"/>
  <c r="S383" i="2" a="1"/>
  <c r="S383" i="2" s="1"/>
  <c r="N383" i="2" a="1"/>
  <c r="N383" i="2" s="1"/>
  <c r="L383" i="2" a="1"/>
  <c r="L383" i="2" s="1"/>
  <c r="AG382" i="2" a="1"/>
  <c r="AG382" i="2" s="1"/>
  <c r="AH382" i="2" s="1" a="1"/>
  <c r="AH382" i="2" s="1"/>
  <c r="AI382" i="2" s="1" a="1"/>
  <c r="AI382" i="2" s="1"/>
  <c r="W382" i="2" a="1"/>
  <c r="W382" i="2" s="1"/>
  <c r="S382" i="2" a="1"/>
  <c r="S382" i="2" s="1"/>
  <c r="N382" i="2" a="1"/>
  <c r="N382" i="2" s="1"/>
  <c r="L382" i="2" a="1"/>
  <c r="L382" i="2" s="1"/>
  <c r="AG381" i="2" a="1"/>
  <c r="AG381" i="2" s="1"/>
  <c r="AH381" i="2" s="1" a="1"/>
  <c r="AH381" i="2" s="1"/>
  <c r="AI381" i="2" s="1" a="1"/>
  <c r="AI381" i="2" s="1"/>
  <c r="W381" i="2" a="1"/>
  <c r="W381" i="2" s="1"/>
  <c r="S381" i="2" a="1"/>
  <c r="S381" i="2" s="1"/>
  <c r="N381" i="2" a="1"/>
  <c r="N381" i="2" s="1"/>
  <c r="L381" i="2" a="1"/>
  <c r="L381" i="2" s="1"/>
  <c r="AG380" i="2" a="1"/>
  <c r="AG380" i="2" s="1"/>
  <c r="AH380" i="2" s="1" a="1"/>
  <c r="AH380" i="2" s="1"/>
  <c r="AI380" i="2" s="1" a="1"/>
  <c r="AI380" i="2" s="1"/>
  <c r="W380" i="2" a="1"/>
  <c r="W380" i="2" s="1"/>
  <c r="S380" i="2" a="1"/>
  <c r="S380" i="2" s="1"/>
  <c r="N380" i="2" a="1"/>
  <c r="N380" i="2" s="1"/>
  <c r="L380" i="2" a="1"/>
  <c r="L380" i="2" s="1"/>
  <c r="AG379" i="2" a="1"/>
  <c r="AG379" i="2" s="1"/>
  <c r="AH379" i="2" s="1" a="1"/>
  <c r="AH379" i="2" s="1"/>
  <c r="AI379" i="2" s="1" a="1"/>
  <c r="AI379" i="2" s="1"/>
  <c r="W379" i="2" a="1"/>
  <c r="W379" i="2" s="1"/>
  <c r="S379" i="2" a="1"/>
  <c r="S379" i="2" s="1"/>
  <c r="N379" i="2" a="1"/>
  <c r="N379" i="2" s="1"/>
  <c r="L379" i="2" a="1"/>
  <c r="L379" i="2" s="1"/>
  <c r="AG378" i="2" a="1"/>
  <c r="AG378" i="2" s="1"/>
  <c r="AH378" i="2" s="1" a="1"/>
  <c r="AH378" i="2" s="1"/>
  <c r="AI378" i="2" s="1" a="1"/>
  <c r="AI378" i="2" s="1"/>
  <c r="W378" i="2" a="1"/>
  <c r="W378" i="2" s="1"/>
  <c r="S378" i="2" a="1"/>
  <c r="S378" i="2" s="1"/>
  <c r="N378" i="2" a="1"/>
  <c r="N378" i="2" s="1"/>
  <c r="L378" i="2" a="1"/>
  <c r="L378" i="2" s="1"/>
  <c r="AG377" i="2" a="1"/>
  <c r="AG377" i="2" s="1"/>
  <c r="AH377" i="2" s="1" a="1"/>
  <c r="AH377" i="2" s="1"/>
  <c r="AI377" i="2" s="1" a="1"/>
  <c r="AI377" i="2" s="1"/>
  <c r="W377" i="2" a="1"/>
  <c r="W377" i="2" s="1"/>
  <c r="S377" i="2" a="1"/>
  <c r="S377" i="2" s="1"/>
  <c r="N377" i="2" a="1"/>
  <c r="N377" i="2" s="1"/>
  <c r="L377" i="2" a="1"/>
  <c r="L377" i="2" s="1"/>
  <c r="AG376" i="2" a="1"/>
  <c r="AG376" i="2" s="1"/>
  <c r="AH376" i="2" s="1" a="1"/>
  <c r="AH376" i="2" s="1"/>
  <c r="AI376" i="2" s="1" a="1"/>
  <c r="AI376" i="2" s="1"/>
  <c r="W376" i="2" a="1"/>
  <c r="W376" i="2" s="1"/>
  <c r="S376" i="2" a="1"/>
  <c r="S376" i="2" s="1"/>
  <c r="N376" i="2" a="1"/>
  <c r="N376" i="2" s="1"/>
  <c r="L376" i="2" a="1"/>
  <c r="L376" i="2" s="1"/>
  <c r="AG375" i="2" a="1"/>
  <c r="AG375" i="2" s="1"/>
  <c r="AH375" i="2" s="1" a="1"/>
  <c r="AH375" i="2" s="1"/>
  <c r="AI375" i="2" s="1" a="1"/>
  <c r="AI375" i="2" s="1"/>
  <c r="W375" i="2" a="1"/>
  <c r="W375" i="2" s="1"/>
  <c r="S375" i="2" a="1"/>
  <c r="S375" i="2" s="1"/>
  <c r="N375" i="2" a="1"/>
  <c r="N375" i="2" s="1"/>
  <c r="L375" i="2" a="1"/>
  <c r="L375" i="2" s="1"/>
  <c r="AG374" i="2" a="1"/>
  <c r="AG374" i="2" s="1"/>
  <c r="AH374" i="2" s="1" a="1"/>
  <c r="AH374" i="2" s="1"/>
  <c r="AI374" i="2" s="1" a="1"/>
  <c r="AI374" i="2" s="1"/>
  <c r="W374" i="2" a="1"/>
  <c r="W374" i="2" s="1"/>
  <c r="S374" i="2" a="1"/>
  <c r="S374" i="2" s="1"/>
  <c r="N374" i="2" a="1"/>
  <c r="N374" i="2" s="1"/>
  <c r="L374" i="2" a="1"/>
  <c r="L374" i="2" s="1"/>
  <c r="AG373" i="2" a="1"/>
  <c r="AG373" i="2" s="1"/>
  <c r="AH373" i="2" s="1" a="1"/>
  <c r="AH373" i="2" s="1"/>
  <c r="AI373" i="2" s="1" a="1"/>
  <c r="AI373" i="2" s="1"/>
  <c r="W373" i="2" a="1"/>
  <c r="W373" i="2" s="1"/>
  <c r="S373" i="2" a="1"/>
  <c r="S373" i="2" s="1"/>
  <c r="N373" i="2" a="1"/>
  <c r="N373" i="2" s="1"/>
  <c r="L373" i="2" a="1"/>
  <c r="L373" i="2" s="1"/>
  <c r="AG372" i="2" a="1"/>
  <c r="AG372" i="2" s="1"/>
  <c r="AH372" i="2" s="1" a="1"/>
  <c r="AH372" i="2" s="1"/>
  <c r="AI372" i="2" s="1" a="1"/>
  <c r="AI372" i="2" s="1"/>
  <c r="W372" i="2" a="1"/>
  <c r="W372" i="2" s="1"/>
  <c r="S372" i="2" a="1"/>
  <c r="S372" i="2"/>
  <c r="N372" i="2" a="1"/>
  <c r="N372" i="2" s="1"/>
  <c r="L372" i="2" a="1"/>
  <c r="L372" i="2" s="1"/>
  <c r="AG371" i="2" a="1"/>
  <c r="AG371" i="2" s="1"/>
  <c r="AH371" i="2" s="1" a="1"/>
  <c r="AH371" i="2" s="1"/>
  <c r="AI371" i="2" s="1" a="1"/>
  <c r="AI371" i="2" s="1"/>
  <c r="W371" i="2" a="1"/>
  <c r="W371" i="2" s="1"/>
  <c r="S371" i="2" a="1"/>
  <c r="S371" i="2" s="1"/>
  <c r="N371" i="2" a="1"/>
  <c r="N371" i="2" s="1"/>
  <c r="L371" i="2" a="1"/>
  <c r="L371" i="2" s="1"/>
  <c r="AG370" i="2" a="1"/>
  <c r="AG370" i="2" s="1"/>
  <c r="AH370" i="2" s="1" a="1"/>
  <c r="AH370" i="2" s="1"/>
  <c r="AI370" i="2" s="1" a="1"/>
  <c r="AI370" i="2" s="1"/>
  <c r="W370" i="2" a="1"/>
  <c r="W370" i="2" s="1"/>
  <c r="S370" i="2" a="1"/>
  <c r="S370" i="2" s="1"/>
  <c r="N370" i="2" a="1"/>
  <c r="N370" i="2" s="1"/>
  <c r="L370" i="2" a="1"/>
  <c r="L370" i="2" s="1"/>
  <c r="AG369" i="2" a="1"/>
  <c r="AG369" i="2" s="1"/>
  <c r="AH369" i="2" s="1" a="1"/>
  <c r="AH369" i="2" s="1"/>
  <c r="AI369" i="2" s="1" a="1"/>
  <c r="AI369" i="2" s="1"/>
  <c r="W369" i="2" a="1"/>
  <c r="W369" i="2" s="1"/>
  <c r="S369" i="2" a="1"/>
  <c r="S369" i="2" s="1"/>
  <c r="N369" i="2" a="1"/>
  <c r="N369" i="2" s="1"/>
  <c r="L369" i="2" a="1"/>
  <c r="L369" i="2" s="1"/>
  <c r="AG368" i="2" a="1"/>
  <c r="AG368" i="2" s="1"/>
  <c r="AH368" i="2" s="1" a="1"/>
  <c r="AH368" i="2" s="1"/>
  <c r="AI368" i="2" s="1" a="1"/>
  <c r="AI368" i="2" s="1"/>
  <c r="W368" i="2" a="1"/>
  <c r="W368" i="2" s="1"/>
  <c r="S368" i="2" a="1"/>
  <c r="S368" i="2" s="1"/>
  <c r="N368" i="2" a="1"/>
  <c r="N368" i="2" s="1"/>
  <c r="L368" i="2" a="1"/>
  <c r="L368" i="2" s="1"/>
  <c r="AG367" i="2" a="1"/>
  <c r="AG367" i="2" s="1"/>
  <c r="AH367" i="2" s="1" a="1"/>
  <c r="AH367" i="2" s="1"/>
  <c r="AI367" i="2" s="1" a="1"/>
  <c r="AI367" i="2" s="1"/>
  <c r="W367" i="2" a="1"/>
  <c r="W367" i="2" s="1"/>
  <c r="S367" i="2" a="1"/>
  <c r="S367" i="2" s="1"/>
  <c r="N367" i="2" a="1"/>
  <c r="N367" i="2" s="1"/>
  <c r="L367" i="2" a="1"/>
  <c r="L367" i="2" s="1"/>
  <c r="AG366" i="2" a="1"/>
  <c r="AG366" i="2" s="1"/>
  <c r="AH366" i="2" s="1" a="1"/>
  <c r="AH366" i="2" s="1"/>
  <c r="AI366" i="2" s="1" a="1"/>
  <c r="AI366" i="2" s="1"/>
  <c r="W366" i="2" a="1"/>
  <c r="W366" i="2" s="1"/>
  <c r="S366" i="2" a="1"/>
  <c r="S366" i="2" s="1"/>
  <c r="N366" i="2" a="1"/>
  <c r="N366" i="2" s="1"/>
  <c r="L366" i="2" a="1"/>
  <c r="L366" i="2" s="1"/>
  <c r="AG365" i="2" a="1"/>
  <c r="AG365" i="2" s="1"/>
  <c r="AH365" i="2" s="1" a="1"/>
  <c r="AH365" i="2" s="1"/>
  <c r="AI365" i="2" s="1" a="1"/>
  <c r="AI365" i="2" s="1"/>
  <c r="W365" i="2" a="1"/>
  <c r="W365" i="2" s="1"/>
  <c r="S365" i="2" a="1"/>
  <c r="S365" i="2" s="1"/>
  <c r="N365" i="2" a="1"/>
  <c r="N365" i="2" s="1"/>
  <c r="L365" i="2" a="1"/>
  <c r="L365" i="2" s="1"/>
  <c r="AG364" i="2" a="1"/>
  <c r="AG364" i="2" s="1"/>
  <c r="AH364" i="2" s="1" a="1"/>
  <c r="AH364" i="2" s="1"/>
  <c r="AI364" i="2" s="1" a="1"/>
  <c r="AI364" i="2" s="1"/>
  <c r="W364" i="2" a="1"/>
  <c r="W364" i="2" s="1"/>
  <c r="S364" i="2" a="1"/>
  <c r="S364" i="2" s="1"/>
  <c r="N364" i="2" a="1"/>
  <c r="N364" i="2" s="1"/>
  <c r="L364" i="2" a="1"/>
  <c r="L364" i="2" s="1"/>
  <c r="AG363" i="2" a="1"/>
  <c r="AG363" i="2" s="1"/>
  <c r="AH363" i="2" s="1" a="1"/>
  <c r="AH363" i="2" s="1"/>
  <c r="AI363" i="2" s="1" a="1"/>
  <c r="AI363" i="2" s="1"/>
  <c r="W363" i="2" a="1"/>
  <c r="W363" i="2" s="1"/>
  <c r="S363" i="2" a="1"/>
  <c r="S363" i="2" s="1"/>
  <c r="N363" i="2" a="1"/>
  <c r="N363" i="2" s="1"/>
  <c r="L363" i="2" a="1"/>
  <c r="L363" i="2" s="1"/>
  <c r="AG362" i="2" a="1"/>
  <c r="AG362" i="2" s="1"/>
  <c r="AH362" i="2" s="1" a="1"/>
  <c r="AH362" i="2" s="1"/>
  <c r="AI362" i="2" s="1" a="1"/>
  <c r="AI362" i="2" s="1"/>
  <c r="W362" i="2" a="1"/>
  <c r="W362" i="2" s="1"/>
  <c r="S362" i="2" a="1"/>
  <c r="S362" i="2" s="1"/>
  <c r="N362" i="2" a="1"/>
  <c r="N362" i="2" s="1"/>
  <c r="L362" i="2" a="1"/>
  <c r="L362" i="2" s="1"/>
  <c r="AG361" i="2" a="1"/>
  <c r="AG361" i="2" s="1"/>
  <c r="AH361" i="2" s="1" a="1"/>
  <c r="AH361" i="2" s="1"/>
  <c r="AI361" i="2" s="1" a="1"/>
  <c r="AI361" i="2" s="1"/>
  <c r="W361" i="2" a="1"/>
  <c r="W361" i="2" s="1"/>
  <c r="S361" i="2" a="1"/>
  <c r="S361" i="2" s="1"/>
  <c r="N361" i="2" a="1"/>
  <c r="N361" i="2" s="1"/>
  <c r="L361" i="2" a="1"/>
  <c r="L361" i="2" s="1"/>
  <c r="AG360" i="2" a="1"/>
  <c r="AG360" i="2" s="1"/>
  <c r="AH360" i="2" s="1" a="1"/>
  <c r="AH360" i="2" s="1"/>
  <c r="AI360" i="2" s="1" a="1"/>
  <c r="AI360" i="2" s="1"/>
  <c r="W360" i="2" a="1"/>
  <c r="W360" i="2" s="1"/>
  <c r="S360" i="2" a="1"/>
  <c r="S360" i="2" s="1"/>
  <c r="N360" i="2" a="1"/>
  <c r="N360" i="2" s="1"/>
  <c r="L360" i="2" a="1"/>
  <c r="L360" i="2" s="1"/>
  <c r="AG359" i="2" a="1"/>
  <c r="AG359" i="2" s="1"/>
  <c r="AH359" i="2" s="1" a="1"/>
  <c r="AH359" i="2" s="1"/>
  <c r="AI359" i="2" s="1" a="1"/>
  <c r="AI359" i="2" s="1"/>
  <c r="W359" i="2" a="1"/>
  <c r="W359" i="2" s="1"/>
  <c r="S359" i="2" a="1"/>
  <c r="S359" i="2" s="1"/>
  <c r="N359" i="2" a="1"/>
  <c r="N359" i="2" s="1"/>
  <c r="L359" i="2" a="1"/>
  <c r="L359" i="2" s="1"/>
  <c r="AG358" i="2" a="1"/>
  <c r="AG358" i="2" s="1"/>
  <c r="AH358" i="2" s="1" a="1"/>
  <c r="AH358" i="2" s="1"/>
  <c r="AI358" i="2" s="1" a="1"/>
  <c r="AI358" i="2" s="1"/>
  <c r="W358" i="2" a="1"/>
  <c r="W358" i="2" s="1"/>
  <c r="S358" i="2" a="1"/>
  <c r="S358" i="2" s="1"/>
  <c r="N358" i="2" a="1"/>
  <c r="N358" i="2" s="1"/>
  <c r="L358" i="2" a="1"/>
  <c r="L358" i="2" s="1"/>
  <c r="AG357" i="2" a="1"/>
  <c r="AG357" i="2" s="1"/>
  <c r="AH357" i="2" s="1" a="1"/>
  <c r="AH357" i="2" s="1"/>
  <c r="AI357" i="2" s="1" a="1"/>
  <c r="AI357" i="2" s="1"/>
  <c r="W357" i="2" a="1"/>
  <c r="W357" i="2" s="1"/>
  <c r="S357" i="2" a="1"/>
  <c r="S357" i="2" s="1"/>
  <c r="N357" i="2" a="1"/>
  <c r="N357" i="2" s="1"/>
  <c r="L357" i="2" a="1"/>
  <c r="L357" i="2" s="1"/>
  <c r="AG356" i="2" a="1"/>
  <c r="AG356" i="2" s="1"/>
  <c r="AH356" i="2" s="1" a="1"/>
  <c r="AH356" i="2" s="1"/>
  <c r="AI356" i="2" s="1" a="1"/>
  <c r="AI356" i="2" s="1"/>
  <c r="W356" i="2" a="1"/>
  <c r="W356" i="2" s="1"/>
  <c r="S356" i="2" a="1"/>
  <c r="S356" i="2" s="1"/>
  <c r="N356" i="2" a="1"/>
  <c r="N356" i="2" s="1"/>
  <c r="L356" i="2" a="1"/>
  <c r="L356" i="2" s="1"/>
  <c r="AG355" i="2" a="1"/>
  <c r="AG355" i="2" s="1"/>
  <c r="AH355" i="2" s="1" a="1"/>
  <c r="AH355" i="2" s="1"/>
  <c r="AI355" i="2" s="1" a="1"/>
  <c r="AI355" i="2" s="1"/>
  <c r="W355" i="2" a="1"/>
  <c r="W355" i="2" s="1"/>
  <c r="S355" i="2" a="1"/>
  <c r="S355" i="2" s="1"/>
  <c r="N355" i="2" a="1"/>
  <c r="N355" i="2" s="1"/>
  <c r="L355" i="2" a="1"/>
  <c r="L355" i="2" s="1"/>
  <c r="AG354" i="2" a="1"/>
  <c r="AG354" i="2" s="1"/>
  <c r="AH354" i="2" s="1" a="1"/>
  <c r="AH354" i="2" s="1"/>
  <c r="AI354" i="2" s="1" a="1"/>
  <c r="AI354" i="2" s="1"/>
  <c r="W354" i="2" a="1"/>
  <c r="W354" i="2" s="1"/>
  <c r="S354" i="2" a="1"/>
  <c r="S354" i="2" s="1"/>
  <c r="N354" i="2" a="1"/>
  <c r="N354" i="2" s="1"/>
  <c r="L354" i="2" a="1"/>
  <c r="L354" i="2" s="1"/>
  <c r="AG353" i="2" a="1"/>
  <c r="AG353" i="2" s="1"/>
  <c r="AH353" i="2" s="1" a="1"/>
  <c r="AH353" i="2" s="1"/>
  <c r="AI353" i="2" s="1" a="1"/>
  <c r="AI353" i="2" s="1"/>
  <c r="W353" i="2" a="1"/>
  <c r="W353" i="2" s="1"/>
  <c r="S353" i="2" a="1"/>
  <c r="S353" i="2" s="1"/>
  <c r="N353" i="2" a="1"/>
  <c r="N353" i="2" s="1"/>
  <c r="L353" i="2" a="1"/>
  <c r="L353" i="2" s="1"/>
  <c r="AG352" i="2" a="1"/>
  <c r="AG352" i="2" s="1"/>
  <c r="AH352" i="2" s="1" a="1"/>
  <c r="AH352" i="2" s="1"/>
  <c r="AI352" i="2" s="1" a="1"/>
  <c r="AI352" i="2" s="1"/>
  <c r="W352" i="2" a="1"/>
  <c r="W352" i="2" s="1"/>
  <c r="S352" i="2" a="1"/>
  <c r="S352" i="2" s="1"/>
  <c r="N352" i="2" a="1"/>
  <c r="N352" i="2" s="1"/>
  <c r="L352" i="2" a="1"/>
  <c r="L352" i="2" s="1"/>
  <c r="AG351" i="2" a="1"/>
  <c r="AG351" i="2" s="1"/>
  <c r="AH351" i="2" s="1" a="1"/>
  <c r="AH351" i="2" s="1"/>
  <c r="AI351" i="2" s="1" a="1"/>
  <c r="AI351" i="2" s="1"/>
  <c r="W351" i="2" a="1"/>
  <c r="W351" i="2" s="1"/>
  <c r="S351" i="2" a="1"/>
  <c r="S351" i="2" s="1"/>
  <c r="N351" i="2" a="1"/>
  <c r="N351" i="2" s="1"/>
  <c r="L351" i="2" a="1"/>
  <c r="L351" i="2" s="1"/>
  <c r="AG350" i="2" a="1"/>
  <c r="AG350" i="2" s="1"/>
  <c r="AH350" i="2" s="1" a="1"/>
  <c r="AH350" i="2" s="1"/>
  <c r="AI350" i="2" s="1" a="1"/>
  <c r="AI350" i="2" s="1"/>
  <c r="W350" i="2" a="1"/>
  <c r="W350" i="2" s="1"/>
  <c r="S350" i="2" a="1"/>
  <c r="S350" i="2" s="1"/>
  <c r="N350" i="2" a="1"/>
  <c r="N350" i="2" s="1"/>
  <c r="L350" i="2" a="1"/>
  <c r="L350" i="2" s="1"/>
  <c r="AG349" i="2" a="1"/>
  <c r="AG349" i="2" s="1"/>
  <c r="AH349" i="2" s="1" a="1"/>
  <c r="AH349" i="2" s="1"/>
  <c r="AI349" i="2" s="1" a="1"/>
  <c r="AI349" i="2" s="1"/>
  <c r="W349" i="2" a="1"/>
  <c r="W349" i="2" s="1"/>
  <c r="S349" i="2" a="1"/>
  <c r="S349" i="2" s="1"/>
  <c r="N349" i="2" a="1"/>
  <c r="N349" i="2" s="1"/>
  <c r="L349" i="2" a="1"/>
  <c r="L349" i="2" s="1"/>
  <c r="AG348" i="2" a="1"/>
  <c r="AG348" i="2" s="1"/>
  <c r="AH348" i="2" s="1" a="1"/>
  <c r="AH348" i="2" s="1"/>
  <c r="AI348" i="2" s="1" a="1"/>
  <c r="AI348" i="2" s="1"/>
  <c r="W348" i="2" a="1"/>
  <c r="W348" i="2" s="1"/>
  <c r="S348" i="2" a="1"/>
  <c r="S348" i="2" s="1"/>
  <c r="N348" i="2" a="1"/>
  <c r="N348" i="2" s="1"/>
  <c r="L348" i="2" a="1"/>
  <c r="L348" i="2" s="1"/>
  <c r="AG347" i="2" a="1"/>
  <c r="AG347" i="2" s="1"/>
  <c r="AH347" i="2" s="1" a="1"/>
  <c r="AH347" i="2" s="1"/>
  <c r="AI347" i="2" s="1" a="1"/>
  <c r="AI347" i="2" s="1"/>
  <c r="W347" i="2" a="1"/>
  <c r="W347" i="2" s="1"/>
  <c r="S347" i="2" a="1"/>
  <c r="S347" i="2" s="1"/>
  <c r="N347" i="2" a="1"/>
  <c r="N347" i="2" s="1"/>
  <c r="L347" i="2" a="1"/>
  <c r="L347" i="2" s="1"/>
  <c r="AG346" i="2" a="1"/>
  <c r="AG346" i="2" s="1"/>
  <c r="AH346" i="2" s="1" a="1"/>
  <c r="AH346" i="2" s="1"/>
  <c r="AI346" i="2" s="1" a="1"/>
  <c r="AI346" i="2" s="1"/>
  <c r="W346" i="2" a="1"/>
  <c r="W346" i="2" s="1"/>
  <c r="S346" i="2" a="1"/>
  <c r="S346" i="2" s="1"/>
  <c r="N346" i="2" a="1"/>
  <c r="N346" i="2" s="1"/>
  <c r="L346" i="2" a="1"/>
  <c r="L346" i="2" s="1"/>
  <c r="AG345" i="2" a="1"/>
  <c r="AG345" i="2" s="1"/>
  <c r="AH345" i="2" s="1" a="1"/>
  <c r="AH345" i="2" s="1"/>
  <c r="AI345" i="2" s="1" a="1"/>
  <c r="AI345" i="2" s="1"/>
  <c r="W345" i="2" a="1"/>
  <c r="W345" i="2" s="1"/>
  <c r="S345" i="2" a="1"/>
  <c r="S345" i="2" s="1"/>
  <c r="N345" i="2" a="1"/>
  <c r="N345" i="2" s="1"/>
  <c r="L345" i="2" a="1"/>
  <c r="L345" i="2" s="1"/>
  <c r="AG344" i="2" a="1"/>
  <c r="AG344" i="2" s="1"/>
  <c r="AH344" i="2" s="1" a="1"/>
  <c r="AH344" i="2" s="1"/>
  <c r="AI344" i="2" s="1" a="1"/>
  <c r="AI344" i="2" s="1"/>
  <c r="W344" i="2" a="1"/>
  <c r="W344" i="2" s="1"/>
  <c r="S344" i="2" a="1"/>
  <c r="S344" i="2" s="1"/>
  <c r="N344" i="2" a="1"/>
  <c r="N344" i="2" s="1"/>
  <c r="L344" i="2" a="1"/>
  <c r="L344" i="2" s="1"/>
  <c r="AG343" i="2" a="1"/>
  <c r="AG343" i="2" s="1"/>
  <c r="AH343" i="2" s="1" a="1"/>
  <c r="AH343" i="2" s="1"/>
  <c r="AI343" i="2" s="1" a="1"/>
  <c r="AI343" i="2" s="1"/>
  <c r="W343" i="2" a="1"/>
  <c r="W343" i="2" s="1"/>
  <c r="S343" i="2" a="1"/>
  <c r="S343" i="2" s="1"/>
  <c r="N343" i="2" a="1"/>
  <c r="N343" i="2" s="1"/>
  <c r="L343" i="2" a="1"/>
  <c r="L343" i="2" s="1"/>
  <c r="AG342" i="2" a="1"/>
  <c r="AG342" i="2" s="1"/>
  <c r="AH342" i="2" s="1" a="1"/>
  <c r="AH342" i="2" s="1"/>
  <c r="AI342" i="2" s="1" a="1"/>
  <c r="AI342" i="2" s="1"/>
  <c r="W342" i="2" a="1"/>
  <c r="W342" i="2" s="1"/>
  <c r="S342" i="2" a="1"/>
  <c r="S342" i="2" s="1"/>
  <c r="N342" i="2" a="1"/>
  <c r="N342" i="2" s="1"/>
  <c r="L342" i="2" a="1"/>
  <c r="L342" i="2" s="1"/>
  <c r="AG341" i="2" a="1"/>
  <c r="AG341" i="2" s="1"/>
  <c r="AH341" i="2" s="1" a="1"/>
  <c r="AH341" i="2" s="1"/>
  <c r="AI341" i="2" s="1" a="1"/>
  <c r="AI341" i="2" s="1"/>
  <c r="W341" i="2" a="1"/>
  <c r="W341" i="2" s="1"/>
  <c r="S341" i="2" a="1"/>
  <c r="S341" i="2" s="1"/>
  <c r="N341" i="2" a="1"/>
  <c r="N341" i="2" s="1"/>
  <c r="L341" i="2" a="1"/>
  <c r="L341" i="2" s="1"/>
  <c r="AG340" i="2" a="1"/>
  <c r="AG340" i="2" s="1"/>
  <c r="AH340" i="2" s="1" a="1"/>
  <c r="AH340" i="2" s="1"/>
  <c r="AI340" i="2" s="1" a="1"/>
  <c r="AI340" i="2" s="1"/>
  <c r="W340" i="2" a="1"/>
  <c r="W340" i="2" s="1"/>
  <c r="S340" i="2" a="1"/>
  <c r="S340" i="2" s="1"/>
  <c r="N340" i="2" a="1"/>
  <c r="N340" i="2" s="1"/>
  <c r="L340" i="2" a="1"/>
  <c r="L340" i="2" s="1"/>
  <c r="AG339" i="2" a="1"/>
  <c r="AG339" i="2" s="1"/>
  <c r="AH339" i="2" s="1" a="1"/>
  <c r="AH339" i="2" s="1"/>
  <c r="AI339" i="2" s="1" a="1"/>
  <c r="AI339" i="2" s="1"/>
  <c r="W339" i="2" a="1"/>
  <c r="W339" i="2" s="1"/>
  <c r="S339" i="2" a="1"/>
  <c r="S339" i="2" s="1"/>
  <c r="N339" i="2" a="1"/>
  <c r="N339" i="2" s="1"/>
  <c r="L339" i="2" a="1"/>
  <c r="L339" i="2" s="1"/>
  <c r="AG338" i="2" a="1"/>
  <c r="AG338" i="2" s="1"/>
  <c r="AH338" i="2" s="1" a="1"/>
  <c r="AH338" i="2" s="1"/>
  <c r="AI338" i="2" s="1" a="1"/>
  <c r="AI338" i="2" s="1"/>
  <c r="W338" i="2" a="1"/>
  <c r="W338" i="2" s="1"/>
  <c r="S338" i="2" a="1"/>
  <c r="S338" i="2" s="1"/>
  <c r="N338" i="2" a="1"/>
  <c r="N338" i="2" s="1"/>
  <c r="L338" i="2" a="1"/>
  <c r="L338" i="2" s="1"/>
  <c r="AG336" i="2" a="1"/>
  <c r="AG336" i="2" s="1"/>
  <c r="AH336" i="2" s="1" a="1"/>
  <c r="AH336" i="2" s="1"/>
  <c r="AI336" i="2" s="1" a="1"/>
  <c r="AI336" i="2" s="1"/>
  <c r="W336" i="2" a="1"/>
  <c r="W336" i="2" s="1"/>
  <c r="S336" i="2" a="1"/>
  <c r="S336" i="2" s="1"/>
  <c r="N336" i="2" a="1"/>
  <c r="N336" i="2" s="1"/>
  <c r="L336" i="2" a="1"/>
  <c r="L336" i="2" s="1"/>
  <c r="AG335" i="2" a="1"/>
  <c r="AG335" i="2" s="1"/>
  <c r="AH335" i="2" s="1" a="1"/>
  <c r="AH335" i="2" s="1"/>
  <c r="AI335" i="2" s="1" a="1"/>
  <c r="AI335" i="2" s="1"/>
  <c r="W335" i="2" a="1"/>
  <c r="W335" i="2" s="1"/>
  <c r="S335" i="2" a="1"/>
  <c r="S335" i="2" s="1"/>
  <c r="N335" i="2" a="1"/>
  <c r="N335" i="2" s="1"/>
  <c r="L335" i="2" a="1"/>
  <c r="L335" i="2" s="1"/>
  <c r="AG334" i="2" a="1"/>
  <c r="AG334" i="2" s="1"/>
  <c r="AH334" i="2" s="1" a="1"/>
  <c r="AH334" i="2" s="1"/>
  <c r="AI334" i="2" s="1" a="1"/>
  <c r="AI334" i="2" s="1"/>
  <c r="W334" i="2" a="1"/>
  <c r="W334" i="2" s="1"/>
  <c r="S334" i="2" a="1"/>
  <c r="S334" i="2" s="1"/>
  <c r="N334" i="2" a="1"/>
  <c r="N334" i="2" s="1"/>
  <c r="L334" i="2" a="1"/>
  <c r="L334" i="2" s="1"/>
  <c r="AG337" i="2" a="1"/>
  <c r="AG337" i="2" s="1"/>
  <c r="AH337" i="2" s="1" a="1"/>
  <c r="AH337" i="2" s="1"/>
  <c r="AI337" i="2" s="1" a="1"/>
  <c r="AI337" i="2" s="1"/>
  <c r="W337" i="2" a="1"/>
  <c r="W337" i="2" s="1"/>
  <c r="S337" i="2" a="1"/>
  <c r="S337" i="2" s="1"/>
  <c r="N337" i="2" a="1"/>
  <c r="N337" i="2" s="1"/>
  <c r="L337" i="2" a="1"/>
  <c r="L337" i="2" s="1"/>
  <c r="AG333" i="2" a="1"/>
  <c r="AG333" i="2" s="1"/>
  <c r="AH333" i="2" s="1" a="1"/>
  <c r="AH333" i="2" s="1"/>
  <c r="AI333" i="2" s="1" a="1"/>
  <c r="AI333" i="2" s="1"/>
  <c r="W333" i="2" a="1"/>
  <c r="W333" i="2" s="1"/>
  <c r="S333" i="2" a="1"/>
  <c r="S333" i="2" s="1"/>
  <c r="N333" i="2" a="1"/>
  <c r="N333" i="2" s="1"/>
  <c r="L333" i="2" a="1"/>
  <c r="L333" i="2" s="1"/>
  <c r="AG332" i="2" a="1"/>
  <c r="AG332" i="2" s="1"/>
  <c r="AH332" i="2" s="1" a="1"/>
  <c r="AH332" i="2" s="1"/>
  <c r="AI332" i="2" s="1" a="1"/>
  <c r="AI332" i="2" s="1"/>
  <c r="W332" i="2" a="1"/>
  <c r="W332" i="2" s="1"/>
  <c r="S332" i="2" a="1"/>
  <c r="S332" i="2" s="1"/>
  <c r="N332" i="2" a="1"/>
  <c r="N332" i="2" s="1"/>
  <c r="L332" i="2" a="1"/>
  <c r="L332" i="2" s="1"/>
  <c r="AG329" i="2" a="1"/>
  <c r="AG329" i="2" s="1"/>
  <c r="AH329" i="2" s="1" a="1"/>
  <c r="AH329" i="2" s="1"/>
  <c r="AI329" i="2" s="1" a="1"/>
  <c r="AI329" i="2" s="1"/>
  <c r="W329" i="2" a="1"/>
  <c r="W329" i="2" s="1"/>
  <c r="S329" i="2" a="1"/>
  <c r="S329" i="2" s="1"/>
  <c r="N329" i="2" a="1"/>
  <c r="N329" i="2" s="1"/>
  <c r="L329" i="2" a="1"/>
  <c r="L329" i="2" s="1"/>
  <c r="AG328" i="2" a="1"/>
  <c r="AG328" i="2" s="1"/>
  <c r="AH328" i="2" s="1" a="1"/>
  <c r="AH328" i="2" s="1"/>
  <c r="AI328" i="2" s="1" a="1"/>
  <c r="AI328" i="2" s="1"/>
  <c r="W328" i="2" a="1"/>
  <c r="W328" i="2" s="1"/>
  <c r="S328" i="2" a="1"/>
  <c r="S328" i="2" s="1"/>
  <c r="N328" i="2" a="1"/>
  <c r="N328" i="2" s="1"/>
  <c r="L328" i="2" a="1"/>
  <c r="L328" i="2" s="1"/>
  <c r="AG325" i="2" a="1"/>
  <c r="AG325" i="2" s="1"/>
  <c r="AH325" i="2" s="1" a="1"/>
  <c r="AH325" i="2" s="1"/>
  <c r="AI325" i="2" s="1" a="1"/>
  <c r="AI325" i="2" s="1"/>
  <c r="W325" i="2" a="1"/>
  <c r="W325" i="2" s="1"/>
  <c r="S325" i="2" a="1"/>
  <c r="S325" i="2" s="1"/>
  <c r="N325" i="2" a="1"/>
  <c r="N325" i="2" s="1"/>
  <c r="L325" i="2" a="1"/>
  <c r="L325" i="2" s="1"/>
  <c r="AG324" i="2" a="1"/>
  <c r="AG324" i="2" s="1"/>
  <c r="AH324" i="2" s="1" a="1"/>
  <c r="AH324" i="2" s="1"/>
  <c r="AI324" i="2" s="1" a="1"/>
  <c r="AI324" i="2" s="1"/>
  <c r="W324" i="2" a="1"/>
  <c r="W324" i="2" s="1"/>
  <c r="S324" i="2" a="1"/>
  <c r="S324" i="2" s="1"/>
  <c r="N324" i="2" a="1"/>
  <c r="N324" i="2" s="1"/>
  <c r="L324" i="2" a="1"/>
  <c r="L324" i="2" s="1"/>
  <c r="AG322" i="2" a="1"/>
  <c r="AG322" i="2" s="1"/>
  <c r="AH322" i="2" s="1" a="1"/>
  <c r="AH322" i="2" s="1"/>
  <c r="AI322" i="2" s="1" a="1"/>
  <c r="AI322" i="2" s="1"/>
  <c r="W322" i="2" a="1"/>
  <c r="W322" i="2" s="1"/>
  <c r="S322" i="2" a="1"/>
  <c r="S322" i="2" s="1"/>
  <c r="N322" i="2" a="1"/>
  <c r="N322" i="2" s="1"/>
  <c r="AG321" i="2" a="1"/>
  <c r="AG321" i="2" s="1"/>
  <c r="AH321" i="2" s="1" a="1"/>
  <c r="AH321" i="2" s="1"/>
  <c r="AI321" i="2" s="1" a="1"/>
  <c r="AI321" i="2" s="1"/>
  <c r="W321" i="2" a="1"/>
  <c r="W321" i="2" s="1"/>
  <c r="S321" i="2" a="1"/>
  <c r="S321" i="2" s="1"/>
  <c r="N321" i="2" a="1"/>
  <c r="N321" i="2" s="1"/>
  <c r="AG319" i="2" a="1"/>
  <c r="AG319" i="2" s="1"/>
  <c r="AH319" i="2" s="1" a="1"/>
  <c r="AH319" i="2" s="1"/>
  <c r="AI319" i="2" s="1" a="1"/>
  <c r="AI319" i="2" s="1"/>
  <c r="W319" i="2" a="1"/>
  <c r="W319" i="2" s="1"/>
  <c r="S319" i="2" a="1"/>
  <c r="S319" i="2" s="1"/>
  <c r="N319" i="2" a="1"/>
  <c r="N319" i="2" s="1"/>
  <c r="AG318" i="2" a="1"/>
  <c r="AG318" i="2" s="1"/>
  <c r="AH318" i="2" s="1" a="1"/>
  <c r="AH318" i="2" s="1"/>
  <c r="AI318" i="2" s="1" a="1"/>
  <c r="AI318" i="2" s="1"/>
  <c r="W318" i="2" a="1"/>
  <c r="W318" i="2"/>
  <c r="S318" i="2" a="1"/>
  <c r="S318" i="2" s="1"/>
  <c r="N318" i="2" a="1"/>
  <c r="N318" i="2" s="1"/>
  <c r="AG316" i="2" a="1"/>
  <c r="AG316" i="2" s="1"/>
  <c r="AH316" i="2" s="1" a="1"/>
  <c r="AH316" i="2" s="1"/>
  <c r="AI316" i="2" s="1" a="1"/>
  <c r="AI316" i="2" s="1"/>
  <c r="W316" i="2" a="1"/>
  <c r="W316" i="2" s="1"/>
  <c r="S316" i="2" a="1"/>
  <c r="S316" i="2" s="1"/>
  <c r="N316" i="2" a="1"/>
  <c r="N316" i="2" s="1"/>
  <c r="AG315" i="2" a="1"/>
  <c r="AG315" i="2" s="1"/>
  <c r="AH315" i="2" s="1" a="1"/>
  <c r="AH315" i="2" s="1"/>
  <c r="AI315" i="2" s="1" a="1"/>
  <c r="AI315" i="2" s="1"/>
  <c r="W315" i="2" a="1"/>
  <c r="W315" i="2" s="1"/>
  <c r="S315" i="2" a="1"/>
  <c r="S315" i="2" s="1"/>
  <c r="N315" i="2" a="1"/>
  <c r="N315" i="2" s="1"/>
  <c r="L315" i="2" a="1"/>
  <c r="L315" i="2" s="1"/>
  <c r="AG313" i="2" a="1"/>
  <c r="AG313" i="2" s="1"/>
  <c r="AH313" i="2" s="1" a="1"/>
  <c r="AH313" i="2" s="1"/>
  <c r="AI313" i="2" s="1" a="1"/>
  <c r="AI313" i="2" s="1"/>
  <c r="W313" i="2" a="1"/>
  <c r="W313" i="2" s="1"/>
  <c r="S313" i="2" a="1"/>
  <c r="S313" i="2" s="1"/>
  <c r="N313" i="2" a="1"/>
  <c r="N313" i="2" s="1"/>
  <c r="AG312" i="2" a="1"/>
  <c r="AG312" i="2" s="1"/>
  <c r="AH312" i="2" s="1" a="1"/>
  <c r="AH312" i="2" s="1"/>
  <c r="AI312" i="2" s="1" a="1"/>
  <c r="AI312" i="2" s="1"/>
  <c r="W312" i="2" a="1"/>
  <c r="W312" i="2" s="1"/>
  <c r="S312" i="2" a="1"/>
  <c r="S312" i="2" s="1"/>
  <c r="N312" i="2" a="1"/>
  <c r="N312" i="2" s="1"/>
  <c r="AG310" i="2" a="1"/>
  <c r="AG310" i="2" s="1"/>
  <c r="AH310" i="2" s="1" a="1"/>
  <c r="AH310" i="2" s="1"/>
  <c r="AI310" i="2" s="1" a="1"/>
  <c r="AI310" i="2" s="1"/>
  <c r="W310" i="2" a="1"/>
  <c r="W310" i="2" s="1"/>
  <c r="S310" i="2" a="1"/>
  <c r="S310" i="2" s="1"/>
  <c r="N310" i="2" a="1"/>
  <c r="N310" i="2" s="1"/>
  <c r="AG309" i="2" a="1"/>
  <c r="AG309" i="2" s="1"/>
  <c r="AH309" i="2" s="1" a="1"/>
  <c r="AH309" i="2" s="1"/>
  <c r="AI309" i="2" s="1" a="1"/>
  <c r="AI309" i="2" s="1"/>
  <c r="W309" i="2" a="1"/>
  <c r="W309" i="2" s="1"/>
  <c r="S309" i="2" a="1"/>
  <c r="S309" i="2" s="1"/>
  <c r="N309" i="2" a="1"/>
  <c r="N309" i="2" s="1"/>
  <c r="AG307" i="2" a="1"/>
  <c r="AG307" i="2" s="1"/>
  <c r="AH307" i="2" s="1" a="1"/>
  <c r="AH307" i="2" s="1"/>
  <c r="AI307" i="2" s="1" a="1"/>
  <c r="AI307" i="2" s="1"/>
  <c r="W307" i="2" a="1"/>
  <c r="W307" i="2" s="1"/>
  <c r="S307" i="2" a="1"/>
  <c r="S307" i="2" s="1"/>
  <c r="N307" i="2" a="1"/>
  <c r="N307" i="2" s="1"/>
  <c r="AG306" i="2" a="1"/>
  <c r="AG306" i="2" s="1"/>
  <c r="AH306" i="2" s="1" a="1"/>
  <c r="AH306" i="2" s="1"/>
  <c r="AI306" i="2" s="1" a="1"/>
  <c r="AI306" i="2" s="1"/>
  <c r="W306" i="2" a="1"/>
  <c r="W306" i="2" s="1"/>
  <c r="S306" i="2" a="1"/>
  <c r="S306" i="2" s="1"/>
  <c r="N306" i="2" a="1"/>
  <c r="N306" i="2" s="1"/>
  <c r="AG304" i="2" a="1"/>
  <c r="AG304" i="2" s="1"/>
  <c r="AH304" i="2" s="1" a="1"/>
  <c r="AH304" i="2" s="1"/>
  <c r="AI304" i="2" s="1" a="1"/>
  <c r="AI304" i="2" s="1"/>
  <c r="W304" i="2" a="1"/>
  <c r="W304" i="2" s="1"/>
  <c r="S304" i="2" a="1"/>
  <c r="S304" i="2" s="1"/>
  <c r="N304" i="2" a="1"/>
  <c r="N304" i="2" s="1"/>
  <c r="L304" i="2" a="1"/>
  <c r="L304" i="2" s="1"/>
  <c r="AG303" i="2" a="1"/>
  <c r="AG303" i="2" s="1"/>
  <c r="AH303" i="2" s="1" a="1"/>
  <c r="AH303" i="2" s="1"/>
  <c r="AI303" i="2" s="1" a="1"/>
  <c r="AI303" i="2" s="1"/>
  <c r="W303" i="2" a="1"/>
  <c r="W303" i="2" s="1"/>
  <c r="S303" i="2" a="1"/>
  <c r="S303" i="2" s="1"/>
  <c r="N303" i="2" a="1"/>
  <c r="N303" i="2" s="1"/>
  <c r="AG301" i="2" a="1"/>
  <c r="AG301" i="2" s="1"/>
  <c r="AH301" i="2" s="1" a="1"/>
  <c r="AH301" i="2" s="1"/>
  <c r="AI301" i="2" s="1" a="1"/>
  <c r="AI301" i="2" s="1"/>
  <c r="W301" i="2" a="1"/>
  <c r="W301" i="2" s="1"/>
  <c r="S301" i="2" a="1"/>
  <c r="S301" i="2" s="1"/>
  <c r="N301" i="2" a="1"/>
  <c r="N301" i="2" s="1"/>
  <c r="AG300" i="2" a="1"/>
  <c r="AG300" i="2" s="1"/>
  <c r="AH300" i="2" s="1" a="1"/>
  <c r="AH300" i="2" s="1"/>
  <c r="AI300" i="2" s="1" a="1"/>
  <c r="AI300" i="2" s="1"/>
  <c r="W300" i="2" a="1"/>
  <c r="W300" i="2" s="1"/>
  <c r="S300" i="2" a="1"/>
  <c r="S300" i="2" s="1"/>
  <c r="N300" i="2" a="1"/>
  <c r="N300" i="2" s="1"/>
  <c r="AG298" i="2" a="1"/>
  <c r="AG298" i="2" s="1"/>
  <c r="AH298" i="2" s="1" a="1"/>
  <c r="AH298" i="2" s="1"/>
  <c r="AI298" i="2" s="1" a="1"/>
  <c r="AI298" i="2" s="1"/>
  <c r="W298" i="2" a="1"/>
  <c r="W298" i="2" s="1"/>
  <c r="S298" i="2" a="1"/>
  <c r="S298" i="2" s="1"/>
  <c r="N298" i="2" a="1"/>
  <c r="N298" i="2" s="1"/>
  <c r="AG297" i="2" a="1"/>
  <c r="AG297" i="2" s="1"/>
  <c r="AH297" i="2" s="1" a="1"/>
  <c r="AH297" i="2" s="1"/>
  <c r="AI297" i="2" s="1" a="1"/>
  <c r="AI297" i="2" s="1"/>
  <c r="W297" i="2" a="1"/>
  <c r="W297" i="2" s="1"/>
  <c r="S297" i="2" a="1"/>
  <c r="S297" i="2" s="1"/>
  <c r="N297" i="2" a="1"/>
  <c r="N297" i="2" s="1"/>
  <c r="AG295" i="2" a="1"/>
  <c r="AG295" i="2" s="1"/>
  <c r="AH295" i="2" s="1" a="1"/>
  <c r="AH295" i="2" s="1"/>
  <c r="AI295" i="2" s="1" a="1"/>
  <c r="AI295" i="2" s="1"/>
  <c r="W295" i="2" a="1"/>
  <c r="W295" i="2" s="1"/>
  <c r="S295" i="2" a="1"/>
  <c r="S295" i="2" s="1"/>
  <c r="N295" i="2" a="1"/>
  <c r="N295" i="2" s="1"/>
  <c r="L295" i="2" a="1"/>
  <c r="L295" i="2" s="1"/>
  <c r="AG294" i="2" a="1"/>
  <c r="AG294" i="2" s="1"/>
  <c r="AH294" i="2" s="1" a="1"/>
  <c r="AH294" i="2" s="1"/>
  <c r="AI294" i="2" s="1" a="1"/>
  <c r="AI294" i="2" s="1"/>
  <c r="W294" i="2" a="1"/>
  <c r="W294" i="2" s="1"/>
  <c r="S294" i="2" a="1"/>
  <c r="S294" i="2" s="1"/>
  <c r="N294" i="2" a="1"/>
  <c r="N294" i="2" s="1"/>
  <c r="L294" i="2" a="1"/>
  <c r="L294" i="2" s="1"/>
  <c r="AG292" i="2" a="1"/>
  <c r="AG292" i="2" s="1"/>
  <c r="AH292" i="2" s="1" a="1"/>
  <c r="AH292" i="2" s="1"/>
  <c r="AI292" i="2" s="1" a="1"/>
  <c r="AI292" i="2" s="1"/>
  <c r="W292" i="2" a="1"/>
  <c r="W292" i="2" s="1"/>
  <c r="S292" i="2" a="1"/>
  <c r="S292" i="2" s="1"/>
  <c r="N292" i="2" a="1"/>
  <c r="N292" i="2" s="1"/>
  <c r="L292" i="2" a="1"/>
  <c r="L292" i="2" s="1"/>
  <c r="AG291" i="2" a="1"/>
  <c r="AG291" i="2" s="1"/>
  <c r="AH291" i="2" s="1" a="1"/>
  <c r="AH291" i="2" s="1"/>
  <c r="AI291" i="2" s="1" a="1"/>
  <c r="AI291" i="2" s="1"/>
  <c r="W291" i="2" a="1"/>
  <c r="W291" i="2" s="1"/>
  <c r="S291" i="2" a="1"/>
  <c r="S291" i="2" s="1"/>
  <c r="N291" i="2" a="1"/>
  <c r="N291" i="2" s="1"/>
  <c r="L291" i="2" a="1"/>
  <c r="L291" i="2" s="1"/>
  <c r="AG289" i="2" a="1"/>
  <c r="AG289" i="2" s="1"/>
  <c r="AH289" i="2" s="1" a="1"/>
  <c r="AH289" i="2" s="1"/>
  <c r="AI289" i="2" s="1" a="1"/>
  <c r="AI289" i="2" s="1"/>
  <c r="W289" i="2" a="1"/>
  <c r="W289" i="2" s="1"/>
  <c r="S289" i="2" a="1"/>
  <c r="S289" i="2" s="1"/>
  <c r="N289" i="2" a="1"/>
  <c r="N289" i="2" s="1"/>
  <c r="L289" i="2" a="1"/>
  <c r="L289" i="2" s="1"/>
  <c r="AG288" i="2" a="1"/>
  <c r="AG288" i="2" s="1"/>
  <c r="AH288" i="2" s="1" a="1"/>
  <c r="AH288" i="2" s="1"/>
  <c r="AI288" i="2" s="1" a="1"/>
  <c r="AI288" i="2" s="1"/>
  <c r="W288" i="2" a="1"/>
  <c r="W288" i="2" s="1"/>
  <c r="S288" i="2" a="1"/>
  <c r="S288" i="2" s="1"/>
  <c r="N288" i="2" a="1"/>
  <c r="N288" i="2" s="1"/>
  <c r="L288" i="2" a="1"/>
  <c r="L288" i="2" s="1"/>
  <c r="AG286" i="2" a="1"/>
  <c r="AG286" i="2" s="1"/>
  <c r="AH286" i="2" s="1" a="1"/>
  <c r="AH286" i="2" s="1"/>
  <c r="AI286" i="2" s="1" a="1"/>
  <c r="AI286" i="2" s="1"/>
  <c r="W286" i="2" a="1"/>
  <c r="W286" i="2" s="1"/>
  <c r="S286" i="2" a="1"/>
  <c r="S286" i="2" s="1"/>
  <c r="N286" i="2" a="1"/>
  <c r="N286" i="2" s="1"/>
  <c r="L286" i="2" a="1"/>
  <c r="L286" i="2" s="1"/>
  <c r="AG285" i="2" a="1"/>
  <c r="AG285" i="2" s="1"/>
  <c r="AH285" i="2" s="1" a="1"/>
  <c r="AH285" i="2" s="1"/>
  <c r="AI285" i="2" s="1" a="1"/>
  <c r="AI285" i="2" s="1"/>
  <c r="W285" i="2" a="1"/>
  <c r="W285" i="2" s="1"/>
  <c r="S285" i="2" a="1"/>
  <c r="S285" i="2" s="1"/>
  <c r="N285" i="2" a="1"/>
  <c r="N285" i="2" s="1"/>
  <c r="L285" i="2" a="1"/>
  <c r="L285" i="2" s="1"/>
  <c r="AG283" i="2" a="1"/>
  <c r="AG283" i="2" s="1"/>
  <c r="AH283" i="2" s="1" a="1"/>
  <c r="AH283" i="2" s="1"/>
  <c r="AI283" i="2" s="1" a="1"/>
  <c r="AI283" i="2" s="1"/>
  <c r="W283" i="2" a="1"/>
  <c r="W283" i="2" s="1"/>
  <c r="S283" i="2" a="1"/>
  <c r="S283" i="2" s="1"/>
  <c r="N283" i="2" a="1"/>
  <c r="N283" i="2" s="1"/>
  <c r="L283" i="2" a="1"/>
  <c r="L283" i="2" s="1"/>
  <c r="AG282" i="2" a="1"/>
  <c r="AG282" i="2" s="1"/>
  <c r="AH282" i="2" s="1" a="1"/>
  <c r="AH282" i="2" s="1"/>
  <c r="AI282" i="2" s="1" a="1"/>
  <c r="AI282" i="2" s="1"/>
  <c r="W282" i="2" a="1"/>
  <c r="W282" i="2" s="1"/>
  <c r="S282" i="2" a="1"/>
  <c r="S282" i="2" s="1"/>
  <c r="N282" i="2" a="1"/>
  <c r="N282" i="2" s="1"/>
  <c r="L282" i="2" a="1"/>
  <c r="L282" i="2" s="1"/>
  <c r="AG280" i="2" a="1"/>
  <c r="AG280" i="2" s="1"/>
  <c r="AH280" i="2" s="1" a="1"/>
  <c r="AH280" i="2" s="1"/>
  <c r="AI280" i="2" s="1" a="1"/>
  <c r="AI280" i="2" s="1"/>
  <c r="W280" i="2" a="1"/>
  <c r="W280" i="2" s="1"/>
  <c r="S280" i="2" a="1"/>
  <c r="S280" i="2" s="1"/>
  <c r="N280" i="2" a="1"/>
  <c r="N280" i="2" s="1"/>
  <c r="L280" i="2" a="1"/>
  <c r="L280" i="2" s="1"/>
  <c r="AG279" i="2" a="1"/>
  <c r="AG279" i="2" s="1"/>
  <c r="AH279" i="2" s="1" a="1"/>
  <c r="AH279" i="2" s="1"/>
  <c r="AI279" i="2" s="1" a="1"/>
  <c r="AI279" i="2" s="1"/>
  <c r="W279" i="2" a="1"/>
  <c r="W279" i="2" s="1"/>
  <c r="S279" i="2" a="1"/>
  <c r="S279" i="2" s="1"/>
  <c r="N279" i="2" a="1"/>
  <c r="N279" i="2" s="1"/>
  <c r="L279" i="2" a="1"/>
  <c r="L279" i="2" s="1"/>
  <c r="AG277" i="2" a="1"/>
  <c r="AG277" i="2" s="1"/>
  <c r="AH277" i="2" s="1" a="1"/>
  <c r="AH277" i="2" s="1"/>
  <c r="AI277" i="2" s="1" a="1"/>
  <c r="AI277" i="2" s="1"/>
  <c r="W277" i="2" a="1"/>
  <c r="W277" i="2" s="1"/>
  <c r="S277" i="2" a="1"/>
  <c r="S277" i="2" s="1"/>
  <c r="N277" i="2" a="1"/>
  <c r="N277" i="2" s="1"/>
  <c r="L277" i="2" a="1"/>
  <c r="L277" i="2" s="1"/>
  <c r="AG276" i="2" a="1"/>
  <c r="AG276" i="2" s="1"/>
  <c r="AH276" i="2" s="1" a="1"/>
  <c r="AH276" i="2" s="1"/>
  <c r="AI276" i="2" s="1" a="1"/>
  <c r="AI276" i="2" s="1"/>
  <c r="W276" i="2" a="1"/>
  <c r="W276" i="2" s="1"/>
  <c r="S276" i="2" a="1"/>
  <c r="S276" i="2" s="1"/>
  <c r="N276" i="2" a="1"/>
  <c r="N276" i="2" s="1"/>
  <c r="L276" i="2" a="1"/>
  <c r="L276" i="2" s="1"/>
  <c r="AG274" i="2" a="1"/>
  <c r="AG274" i="2" s="1"/>
  <c r="AH274" i="2" s="1" a="1"/>
  <c r="AH274" i="2" s="1"/>
  <c r="AI274" i="2" s="1" a="1"/>
  <c r="AI274" i="2" s="1"/>
  <c r="W274" i="2" a="1"/>
  <c r="W274" i="2" s="1"/>
  <c r="S274" i="2" a="1"/>
  <c r="S274" i="2" s="1"/>
  <c r="N274" i="2" a="1"/>
  <c r="N274" i="2" s="1"/>
  <c r="L274" i="2" a="1"/>
  <c r="L274" i="2" s="1"/>
  <c r="AG273" i="2" a="1"/>
  <c r="AG273" i="2" s="1"/>
  <c r="AH273" i="2" s="1" a="1"/>
  <c r="AH273" i="2" s="1"/>
  <c r="AI273" i="2" s="1" a="1"/>
  <c r="AI273" i="2" s="1"/>
  <c r="W273" i="2" a="1"/>
  <c r="W273" i="2" s="1"/>
  <c r="S273" i="2" a="1"/>
  <c r="S273" i="2" s="1"/>
  <c r="N273" i="2" a="1"/>
  <c r="N273" i="2" s="1"/>
  <c r="L273" i="2" a="1"/>
  <c r="L273" i="2" s="1"/>
  <c r="AG272" i="2" a="1"/>
  <c r="AG272" i="2" s="1"/>
  <c r="AH272" i="2" s="1" a="1"/>
  <c r="AH272" i="2" s="1"/>
  <c r="AI272" i="2" s="1" a="1"/>
  <c r="AI272" i="2" s="1"/>
  <c r="W272" i="2" a="1"/>
  <c r="W272" i="2" s="1"/>
  <c r="S272" i="2" a="1"/>
  <c r="S272" i="2" s="1"/>
  <c r="N272" i="2" a="1"/>
  <c r="N272" i="2" s="1"/>
  <c r="L272" i="2" a="1"/>
  <c r="L272" i="2" s="1"/>
  <c r="AG271" i="2" a="1"/>
  <c r="AG271" i="2" s="1"/>
  <c r="AH271" i="2" s="1" a="1"/>
  <c r="AH271" i="2" s="1"/>
  <c r="AI271" i="2" s="1" a="1"/>
  <c r="AI271" i="2" s="1"/>
  <c r="W271" i="2" a="1"/>
  <c r="W271" i="2" s="1"/>
  <c r="S271" i="2" a="1"/>
  <c r="S271" i="2" s="1"/>
  <c r="N271" i="2" a="1"/>
  <c r="N271" i="2" s="1"/>
  <c r="L271" i="2" a="1"/>
  <c r="L271" i="2" s="1"/>
  <c r="AG269" i="2" a="1"/>
  <c r="AG269" i="2" s="1"/>
  <c r="AH269" i="2" s="1" a="1"/>
  <c r="AH269" i="2" s="1"/>
  <c r="AI269" i="2" s="1" a="1"/>
  <c r="AI269" i="2" s="1"/>
  <c r="W269" i="2" a="1"/>
  <c r="W269" i="2" s="1"/>
  <c r="S269" i="2" a="1"/>
  <c r="S269" i="2" s="1"/>
  <c r="N269" i="2" a="1"/>
  <c r="N269" i="2" s="1"/>
  <c r="L269" i="2" a="1"/>
  <c r="L269" i="2" s="1"/>
  <c r="AG268" i="2" a="1"/>
  <c r="AG268" i="2" s="1"/>
  <c r="AH268" i="2" s="1" a="1"/>
  <c r="AH268" i="2" s="1"/>
  <c r="AI268" i="2" s="1" a="1"/>
  <c r="AI268" i="2" s="1"/>
  <c r="W268" i="2" a="1"/>
  <c r="W268" i="2" s="1"/>
  <c r="S268" i="2" a="1"/>
  <c r="S268" i="2" s="1"/>
  <c r="N268" i="2" a="1"/>
  <c r="N268" i="2" s="1"/>
  <c r="L268" i="2" a="1"/>
  <c r="L268" i="2" s="1"/>
  <c r="AG266" i="2" a="1"/>
  <c r="AG266" i="2" s="1"/>
  <c r="AH266" i="2" s="1" a="1"/>
  <c r="AH266" i="2" s="1"/>
  <c r="AI266" i="2" s="1" a="1"/>
  <c r="AI266" i="2" s="1"/>
  <c r="W266" i="2" a="1"/>
  <c r="W266" i="2" s="1"/>
  <c r="S266" i="2" a="1"/>
  <c r="S266" i="2" s="1"/>
  <c r="N266" i="2" a="1"/>
  <c r="N266" i="2" s="1"/>
  <c r="L266" i="2" a="1"/>
  <c r="L266" i="2" s="1"/>
  <c r="AG265" i="2" a="1"/>
  <c r="AG265" i="2" s="1"/>
  <c r="AH265" i="2" s="1" a="1"/>
  <c r="AH265" i="2" s="1"/>
  <c r="AI265" i="2" s="1" a="1"/>
  <c r="AI265" i="2" s="1"/>
  <c r="W265" i="2" a="1"/>
  <c r="W265" i="2" s="1"/>
  <c r="S265" i="2" a="1"/>
  <c r="S265" i="2" s="1"/>
  <c r="N265" i="2" a="1"/>
  <c r="N265" i="2" s="1"/>
  <c r="L265" i="2" a="1"/>
  <c r="L265" i="2" s="1"/>
  <c r="AG263" i="2" a="1"/>
  <c r="AG263" i="2" s="1"/>
  <c r="AH263" i="2" s="1" a="1"/>
  <c r="AH263" i="2" s="1"/>
  <c r="AI263" i="2" s="1" a="1"/>
  <c r="AI263" i="2" s="1"/>
  <c r="W263" i="2" a="1"/>
  <c r="W263" i="2" s="1"/>
  <c r="S263" i="2" a="1"/>
  <c r="S263" i="2" s="1"/>
  <c r="N263" i="2" a="1"/>
  <c r="N263" i="2" s="1"/>
  <c r="L263" i="2" a="1"/>
  <c r="L263" i="2" s="1"/>
  <c r="AG262" i="2" a="1"/>
  <c r="AG262" i="2" s="1"/>
  <c r="AH262" i="2" s="1" a="1"/>
  <c r="AH262" i="2" s="1"/>
  <c r="AI262" i="2" s="1" a="1"/>
  <c r="AI262" i="2" s="1"/>
  <c r="W262" i="2" a="1"/>
  <c r="W262" i="2" s="1"/>
  <c r="S262" i="2" a="1"/>
  <c r="S262" i="2" s="1"/>
  <c r="N262" i="2" a="1"/>
  <c r="N262" i="2" s="1"/>
  <c r="L262" i="2" a="1"/>
  <c r="L262" i="2" s="1"/>
  <c r="AG260" i="2" a="1"/>
  <c r="AG260" i="2" s="1"/>
  <c r="AH260" i="2" s="1" a="1"/>
  <c r="AH260" i="2" s="1"/>
  <c r="AI260" i="2" s="1" a="1"/>
  <c r="AI260" i="2" s="1"/>
  <c r="W260" i="2" a="1"/>
  <c r="W260" i="2" s="1"/>
  <c r="S260" i="2" a="1"/>
  <c r="S260" i="2" s="1"/>
  <c r="N260" i="2" a="1"/>
  <c r="N260" i="2" s="1"/>
  <c r="L260" i="2" a="1"/>
  <c r="L260" i="2" s="1"/>
  <c r="AG259" i="2" a="1"/>
  <c r="AG259" i="2" s="1"/>
  <c r="AH259" i="2" s="1" a="1"/>
  <c r="AH259" i="2" s="1"/>
  <c r="AI259" i="2" s="1" a="1"/>
  <c r="AI259" i="2" s="1"/>
  <c r="W259" i="2" a="1"/>
  <c r="W259" i="2" s="1"/>
  <c r="S259" i="2" a="1"/>
  <c r="S259" i="2" s="1"/>
  <c r="N259" i="2" a="1"/>
  <c r="N259" i="2" s="1"/>
  <c r="L259" i="2" a="1"/>
  <c r="L259" i="2" s="1"/>
  <c r="AG257" i="2" a="1"/>
  <c r="AG257" i="2" s="1"/>
  <c r="AH257" i="2" s="1" a="1"/>
  <c r="AH257" i="2" s="1"/>
  <c r="AI257" i="2" s="1" a="1"/>
  <c r="AI257" i="2" s="1"/>
  <c r="W257" i="2" a="1"/>
  <c r="W257" i="2" s="1"/>
  <c r="S257" i="2" a="1"/>
  <c r="S257" i="2" s="1"/>
  <c r="N257" i="2" a="1"/>
  <c r="N257" i="2" s="1"/>
  <c r="L257" i="2" a="1"/>
  <c r="L257" i="2" s="1"/>
  <c r="AG256" i="2" a="1"/>
  <c r="AG256" i="2" s="1"/>
  <c r="AH256" i="2" s="1" a="1"/>
  <c r="AH256" i="2" s="1"/>
  <c r="AI256" i="2" s="1" a="1"/>
  <c r="AI256" i="2" s="1"/>
  <c r="W256" i="2" a="1"/>
  <c r="W256" i="2" s="1"/>
  <c r="S256" i="2" a="1"/>
  <c r="S256" i="2" s="1"/>
  <c r="N256" i="2" a="1"/>
  <c r="N256" i="2" s="1"/>
  <c r="L256" i="2" a="1"/>
  <c r="L256" i="2" s="1"/>
  <c r="AG254" i="2" a="1"/>
  <c r="AG254" i="2" s="1"/>
  <c r="AH254" i="2" s="1" a="1"/>
  <c r="AH254" i="2" s="1"/>
  <c r="AI254" i="2" s="1" a="1"/>
  <c r="AI254" i="2" s="1"/>
  <c r="W254" i="2" a="1"/>
  <c r="W254" i="2" s="1"/>
  <c r="S254" i="2" a="1"/>
  <c r="S254" i="2" s="1"/>
  <c r="N254" i="2" a="1"/>
  <c r="N254" i="2" s="1"/>
  <c r="L254" i="2" a="1"/>
  <c r="L254" i="2" s="1"/>
  <c r="AG253" i="2" a="1"/>
  <c r="AG253" i="2" s="1"/>
  <c r="AH253" i="2" s="1" a="1"/>
  <c r="AH253" i="2" s="1"/>
  <c r="AI253" i="2" s="1" a="1"/>
  <c r="AI253" i="2" s="1"/>
  <c r="W253" i="2" a="1"/>
  <c r="W253" i="2" s="1"/>
  <c r="S253" i="2" a="1"/>
  <c r="S253" i="2" s="1"/>
  <c r="N253" i="2" a="1"/>
  <c r="N253" i="2" s="1"/>
  <c r="L253" i="2" a="1"/>
  <c r="L253" i="2" s="1"/>
  <c r="AG250" i="2" a="1"/>
  <c r="AG250" i="2" s="1"/>
  <c r="AH250" i="2" s="1" a="1"/>
  <c r="AH250" i="2" s="1"/>
  <c r="AI250" i="2" s="1" a="1"/>
  <c r="AI250" i="2" s="1"/>
  <c r="W250" i="2" a="1"/>
  <c r="W250" i="2" s="1"/>
  <c r="S250" i="2" a="1"/>
  <c r="S250" i="2" s="1"/>
  <c r="N250" i="2" a="1"/>
  <c r="N250" i="2" s="1"/>
  <c r="L250" i="2" a="1"/>
  <c r="L250" i="2" s="1"/>
  <c r="AG249" i="2" a="1"/>
  <c r="AG249" i="2" s="1"/>
  <c r="AH249" i="2" s="1" a="1"/>
  <c r="AH249" i="2" s="1"/>
  <c r="AI249" i="2" s="1" a="1"/>
  <c r="AI249" i="2" s="1"/>
  <c r="W249" i="2" a="1"/>
  <c r="W249" i="2" s="1"/>
  <c r="S249" i="2" a="1"/>
  <c r="S249" i="2" s="1"/>
  <c r="N249" i="2" a="1"/>
  <c r="N249" i="2" s="1"/>
  <c r="L249" i="2" a="1"/>
  <c r="L249" i="2" s="1"/>
  <c r="AG247" i="2" a="1"/>
  <c r="AG247" i="2" s="1"/>
  <c r="AH247" i="2" s="1" a="1"/>
  <c r="AH247" i="2" s="1"/>
  <c r="AI247" i="2" s="1" a="1"/>
  <c r="AI247" i="2" s="1"/>
  <c r="W247" i="2" a="1"/>
  <c r="W247" i="2" s="1"/>
  <c r="S247" i="2" a="1"/>
  <c r="S247" i="2" s="1"/>
  <c r="N247" i="2" a="1"/>
  <c r="N247" i="2" s="1"/>
  <c r="L247" i="2" a="1"/>
  <c r="L247" i="2" s="1"/>
  <c r="AG246" i="2" a="1"/>
  <c r="AG246" i="2" s="1"/>
  <c r="AH246" i="2" s="1" a="1"/>
  <c r="AH246" i="2" s="1"/>
  <c r="AI246" i="2" s="1" a="1"/>
  <c r="AI246" i="2" s="1"/>
  <c r="W246" i="2" a="1"/>
  <c r="W246" i="2" s="1"/>
  <c r="S246" i="2" a="1"/>
  <c r="S246" i="2" s="1"/>
  <c r="N246" i="2" a="1"/>
  <c r="N246" i="2" s="1"/>
  <c r="L246" i="2" a="1"/>
  <c r="L246" i="2" s="1"/>
  <c r="AG244" i="2" a="1"/>
  <c r="AG244" i="2" s="1"/>
  <c r="AH244" i="2" s="1" a="1"/>
  <c r="AH244" i="2" s="1"/>
  <c r="AI244" i="2" s="1" a="1"/>
  <c r="AI244" i="2" s="1"/>
  <c r="W244" i="2" a="1"/>
  <c r="W244" i="2" s="1"/>
  <c r="S244" i="2" a="1"/>
  <c r="S244" i="2" s="1"/>
  <c r="N244" i="2" a="1"/>
  <c r="N244" i="2" s="1"/>
  <c r="L244" i="2" a="1"/>
  <c r="L244" i="2" s="1"/>
  <c r="AG243" i="2" a="1"/>
  <c r="AG243" i="2" s="1"/>
  <c r="AH243" i="2" s="1" a="1"/>
  <c r="AH243" i="2" s="1"/>
  <c r="AI243" i="2" s="1" a="1"/>
  <c r="AI243" i="2" s="1"/>
  <c r="W243" i="2" a="1"/>
  <c r="W243" i="2" s="1"/>
  <c r="S243" i="2" a="1"/>
  <c r="S243" i="2" s="1"/>
  <c r="N243" i="2" a="1"/>
  <c r="N243" i="2" s="1"/>
  <c r="L243" i="2" a="1"/>
  <c r="L243" i="2" s="1"/>
  <c r="AG241" i="2" a="1"/>
  <c r="AG241" i="2" s="1"/>
  <c r="AH241" i="2" s="1" a="1"/>
  <c r="AH241" i="2" s="1"/>
  <c r="AI241" i="2" s="1" a="1"/>
  <c r="AI241" i="2" s="1"/>
  <c r="W241" i="2" a="1"/>
  <c r="W241" i="2" s="1"/>
  <c r="S241" i="2" a="1"/>
  <c r="S241" i="2" s="1"/>
  <c r="N241" i="2" a="1"/>
  <c r="N241" i="2" s="1"/>
  <c r="L241" i="2" a="1"/>
  <c r="L241" i="2" s="1"/>
  <c r="AG240" i="2" a="1"/>
  <c r="AG240" i="2" s="1"/>
  <c r="AH240" i="2" s="1" a="1"/>
  <c r="AH240" i="2" s="1"/>
  <c r="AI240" i="2" s="1" a="1"/>
  <c r="AI240" i="2" s="1"/>
  <c r="W240" i="2" a="1"/>
  <c r="W240" i="2" s="1"/>
  <c r="S240" i="2" a="1"/>
  <c r="S240" i="2" s="1"/>
  <c r="N240" i="2" a="1"/>
  <c r="N240" i="2" s="1"/>
  <c r="L240" i="2" a="1"/>
  <c r="L240" i="2" s="1"/>
  <c r="AG238" i="2" a="1"/>
  <c r="AG238" i="2" s="1"/>
  <c r="AH238" i="2" s="1" a="1"/>
  <c r="AH238" i="2" s="1"/>
  <c r="AI238" i="2" s="1" a="1"/>
  <c r="AI238" i="2" s="1"/>
  <c r="W238" i="2" a="1"/>
  <c r="W238" i="2" s="1"/>
  <c r="S238" i="2" a="1"/>
  <c r="S238" i="2" s="1"/>
  <c r="N238" i="2" a="1"/>
  <c r="N238" i="2" s="1"/>
  <c r="L238" i="2" a="1"/>
  <c r="L238" i="2" s="1"/>
  <c r="AG237" i="2" a="1"/>
  <c r="AG237" i="2" s="1"/>
  <c r="AH237" i="2" s="1" a="1"/>
  <c r="AH237" i="2" s="1"/>
  <c r="AI237" i="2" s="1" a="1"/>
  <c r="AI237" i="2" s="1"/>
  <c r="W237" i="2" a="1"/>
  <c r="W237" i="2" s="1"/>
  <c r="S237" i="2" a="1"/>
  <c r="S237" i="2" s="1"/>
  <c r="N237" i="2" a="1"/>
  <c r="N237" i="2" s="1"/>
  <c r="L237" i="2" a="1"/>
  <c r="L237" i="2" s="1"/>
  <c r="AG236" i="2" a="1"/>
  <c r="AG236" i="2" s="1"/>
  <c r="AH236" i="2" s="1" a="1"/>
  <c r="AH236" i="2" s="1"/>
  <c r="AI236" i="2" s="1" a="1"/>
  <c r="AI236" i="2" s="1"/>
  <c r="W236" i="2" a="1"/>
  <c r="W236" i="2" s="1"/>
  <c r="S236" i="2" a="1"/>
  <c r="S236" i="2" s="1"/>
  <c r="N236" i="2" a="1"/>
  <c r="N236" i="2" s="1"/>
  <c r="L236" i="2" a="1"/>
  <c r="L236" i="2" s="1"/>
  <c r="AG234" i="2" a="1"/>
  <c r="AG234" i="2" s="1"/>
  <c r="AH234" i="2" s="1" a="1"/>
  <c r="AH234" i="2" s="1"/>
  <c r="AI234" i="2" s="1" a="1"/>
  <c r="AI234" i="2" s="1"/>
  <c r="W234" i="2" a="1"/>
  <c r="W234" i="2" s="1"/>
  <c r="S234" i="2" a="1"/>
  <c r="S234" i="2" s="1"/>
  <c r="N234" i="2" a="1"/>
  <c r="N234" i="2" s="1"/>
  <c r="L234" i="2" a="1"/>
  <c r="L234" i="2" s="1"/>
  <c r="AG233" i="2" a="1"/>
  <c r="AG233" i="2" s="1"/>
  <c r="AH233" i="2" s="1" a="1"/>
  <c r="AH233" i="2" s="1"/>
  <c r="AI233" i="2" s="1" a="1"/>
  <c r="AI233" i="2" s="1"/>
  <c r="W233" i="2" a="1"/>
  <c r="W233" i="2" s="1"/>
  <c r="S233" i="2" a="1"/>
  <c r="S233" i="2" s="1"/>
  <c r="N233" i="2" a="1"/>
  <c r="N233" i="2"/>
  <c r="L233" i="2" a="1"/>
  <c r="L233" i="2" s="1"/>
  <c r="AG231" i="2" a="1"/>
  <c r="AG231" i="2" s="1"/>
  <c r="AH231" i="2" s="1" a="1"/>
  <c r="AH231" i="2" s="1"/>
  <c r="AI231" i="2" s="1" a="1"/>
  <c r="AI231" i="2" s="1"/>
  <c r="W231" i="2" a="1"/>
  <c r="W231" i="2" s="1"/>
  <c r="S231" i="2" a="1"/>
  <c r="S231" i="2" s="1"/>
  <c r="N231" i="2" a="1"/>
  <c r="N231" i="2" s="1"/>
  <c r="L231" i="2" a="1"/>
  <c r="L231" i="2" s="1"/>
  <c r="AG230" i="2" a="1"/>
  <c r="AG230" i="2" s="1"/>
  <c r="AH230" i="2" s="1" a="1"/>
  <c r="AH230" i="2" s="1"/>
  <c r="AI230" i="2" s="1" a="1"/>
  <c r="AI230" i="2" s="1"/>
  <c r="W230" i="2" a="1"/>
  <c r="W230" i="2" s="1"/>
  <c r="S230" i="2" a="1"/>
  <c r="S230" i="2" s="1"/>
  <c r="N230" i="2" a="1"/>
  <c r="N230" i="2" s="1"/>
  <c r="L230" i="2" a="1"/>
  <c r="L230" i="2" s="1"/>
  <c r="AG228" i="2" a="1"/>
  <c r="AG228" i="2" s="1"/>
  <c r="AH228" i="2" s="1" a="1"/>
  <c r="AH228" i="2" s="1"/>
  <c r="AI228" i="2" s="1" a="1"/>
  <c r="AI228" i="2" s="1"/>
  <c r="W228" i="2" a="1"/>
  <c r="W228" i="2" s="1"/>
  <c r="S228" i="2" a="1"/>
  <c r="S228" i="2" s="1"/>
  <c r="N228" i="2" a="1"/>
  <c r="N228" i="2" s="1"/>
  <c r="L228" i="2" a="1"/>
  <c r="L228" i="2" s="1"/>
  <c r="AG226" i="2" a="1"/>
  <c r="AG226" i="2" s="1"/>
  <c r="AH226" i="2" s="1" a="1"/>
  <c r="AH226" i="2" s="1"/>
  <c r="AI226" i="2" s="1" a="1"/>
  <c r="AI226" i="2" s="1"/>
  <c r="W226" i="2" a="1"/>
  <c r="W226" i="2" s="1"/>
  <c r="S226" i="2" a="1"/>
  <c r="S226" i="2" s="1"/>
  <c r="N226" i="2" a="1"/>
  <c r="N226" i="2" s="1"/>
  <c r="L226" i="2" a="1"/>
  <c r="L226" i="2" s="1"/>
  <c r="AG225" i="2" a="1"/>
  <c r="AG225" i="2" s="1"/>
  <c r="AH225" i="2" s="1" a="1"/>
  <c r="AH225" i="2" s="1"/>
  <c r="AI225" i="2" s="1" a="1"/>
  <c r="AI225" i="2" s="1"/>
  <c r="W225" i="2" a="1"/>
  <c r="W225" i="2" s="1"/>
  <c r="S225" i="2" a="1"/>
  <c r="S225" i="2" s="1"/>
  <c r="N225" i="2" a="1"/>
  <c r="N225" i="2" s="1"/>
  <c r="L225" i="2" a="1"/>
  <c r="L225" i="2" s="1"/>
  <c r="AG223" i="2" a="1"/>
  <c r="AG223" i="2" s="1"/>
  <c r="AH223" i="2" s="1" a="1"/>
  <c r="AH223" i="2" s="1"/>
  <c r="AI223" i="2" s="1" a="1"/>
  <c r="AI223" i="2" s="1"/>
  <c r="W223" i="2" a="1"/>
  <c r="W223" i="2" s="1"/>
  <c r="S223" i="2" a="1"/>
  <c r="S223" i="2" s="1"/>
  <c r="N223" i="2" a="1"/>
  <c r="N223" i="2" s="1"/>
  <c r="L223" i="2" a="1"/>
  <c r="L223" i="2" s="1"/>
  <c r="AG222" i="2" a="1"/>
  <c r="AG222" i="2" s="1"/>
  <c r="AH222" i="2" s="1" a="1"/>
  <c r="AH222" i="2" s="1"/>
  <c r="AI222" i="2" s="1" a="1"/>
  <c r="AI222" i="2" s="1"/>
  <c r="W222" i="2" a="1"/>
  <c r="W222" i="2" s="1"/>
  <c r="S222" i="2" a="1"/>
  <c r="S222" i="2" s="1"/>
  <c r="N222" i="2" a="1"/>
  <c r="N222" i="2" s="1"/>
  <c r="L222" i="2" a="1"/>
  <c r="L222" i="2" s="1"/>
  <c r="AG220" i="2" a="1"/>
  <c r="AG220" i="2" s="1"/>
  <c r="AH220" i="2" s="1" a="1"/>
  <c r="AH220" i="2" s="1"/>
  <c r="AI220" i="2" s="1" a="1"/>
  <c r="AI220" i="2" s="1"/>
  <c r="W220" i="2" a="1"/>
  <c r="W220" i="2" s="1"/>
  <c r="S220" i="2" a="1"/>
  <c r="S220" i="2" s="1"/>
  <c r="N220" i="2" a="1"/>
  <c r="N220" i="2" s="1"/>
  <c r="L220" i="2" a="1"/>
  <c r="L220" i="2" s="1"/>
  <c r="AG219" i="2" a="1"/>
  <c r="AG219" i="2" s="1"/>
  <c r="AH219" i="2" s="1" a="1"/>
  <c r="AH219" i="2" s="1"/>
  <c r="AI219" i="2" s="1" a="1"/>
  <c r="AI219" i="2" s="1"/>
  <c r="W219" i="2" a="1"/>
  <c r="W219" i="2" s="1"/>
  <c r="S219" i="2" a="1"/>
  <c r="S219" i="2" s="1"/>
  <c r="N219" i="2" a="1"/>
  <c r="N219" i="2" s="1"/>
  <c r="L219" i="2" a="1"/>
  <c r="L219" i="2" s="1"/>
  <c r="AG217" i="2" a="1"/>
  <c r="AG217" i="2" s="1"/>
  <c r="AH217" i="2" s="1" a="1"/>
  <c r="AH217" i="2" s="1"/>
  <c r="AI217" i="2" s="1" a="1"/>
  <c r="AI217" i="2" s="1"/>
  <c r="W217" i="2" a="1"/>
  <c r="W217" i="2" s="1"/>
  <c r="S217" i="2" a="1"/>
  <c r="S217" i="2" s="1"/>
  <c r="N217" i="2" a="1"/>
  <c r="N217" i="2" s="1"/>
  <c r="L217" i="2" a="1"/>
  <c r="L217" i="2" s="1"/>
  <c r="AG216" i="2" a="1"/>
  <c r="AG216" i="2" s="1"/>
  <c r="AH216" i="2" s="1" a="1"/>
  <c r="AH216" i="2" s="1"/>
  <c r="AI216" i="2" s="1" a="1"/>
  <c r="AI216" i="2" s="1"/>
  <c r="W216" i="2" a="1"/>
  <c r="W216" i="2" s="1"/>
  <c r="S216" i="2" a="1"/>
  <c r="S216" i="2" s="1"/>
  <c r="N216" i="2" a="1"/>
  <c r="N216" i="2" s="1"/>
  <c r="L216" i="2" a="1"/>
  <c r="L216" i="2" s="1"/>
  <c r="AG214" i="2" a="1"/>
  <c r="AG214" i="2" s="1"/>
  <c r="AH214" i="2" s="1" a="1"/>
  <c r="AH214" i="2" s="1"/>
  <c r="AI214" i="2" s="1" a="1"/>
  <c r="AI214" i="2" s="1"/>
  <c r="W214" i="2" a="1"/>
  <c r="W214" i="2" s="1"/>
  <c r="S214" i="2" a="1"/>
  <c r="S214" i="2" s="1"/>
  <c r="N214" i="2" a="1"/>
  <c r="N214" i="2" s="1"/>
  <c r="L214" i="2" a="1"/>
  <c r="L214" i="2" s="1"/>
  <c r="AG213" i="2" a="1"/>
  <c r="AG213" i="2" s="1"/>
  <c r="AH213" i="2" s="1" a="1"/>
  <c r="AH213" i="2" s="1"/>
  <c r="AI213" i="2" s="1" a="1"/>
  <c r="AI213" i="2" s="1"/>
  <c r="W213" i="2" a="1"/>
  <c r="W213" i="2" s="1"/>
  <c r="S213" i="2" a="1"/>
  <c r="S213" i="2" s="1"/>
  <c r="N213" i="2" a="1"/>
  <c r="N213" i="2" s="1"/>
  <c r="L213" i="2" a="1"/>
  <c r="L213" i="2" s="1"/>
  <c r="AG211" i="2" a="1"/>
  <c r="AG211" i="2" s="1"/>
  <c r="AH211" i="2" s="1" a="1"/>
  <c r="AH211" i="2" s="1"/>
  <c r="AI211" i="2" s="1" a="1"/>
  <c r="AI211" i="2" s="1"/>
  <c r="W211" i="2" a="1"/>
  <c r="W211" i="2" s="1"/>
  <c r="S211" i="2" a="1"/>
  <c r="S211" i="2" s="1"/>
  <c r="N211" i="2" a="1"/>
  <c r="N211" i="2" s="1"/>
  <c r="L211" i="2" a="1"/>
  <c r="L211" i="2" s="1"/>
  <c r="AG210" i="2" a="1"/>
  <c r="AG210" i="2" s="1"/>
  <c r="AH210" i="2" s="1" a="1"/>
  <c r="AH210" i="2" s="1"/>
  <c r="AI210" i="2" s="1" a="1"/>
  <c r="AI210" i="2" s="1"/>
  <c r="W210" i="2" a="1"/>
  <c r="W210" i="2" s="1"/>
  <c r="S210" i="2" a="1"/>
  <c r="S210" i="2" s="1"/>
  <c r="N210" i="2" a="1"/>
  <c r="N210" i="2" s="1"/>
  <c r="L210" i="2" a="1"/>
  <c r="L210" i="2" s="1"/>
  <c r="AG208" i="2" a="1"/>
  <c r="AG208" i="2" s="1"/>
  <c r="AH208" i="2" s="1" a="1"/>
  <c r="AH208" i="2" s="1"/>
  <c r="AI208" i="2" s="1" a="1"/>
  <c r="AI208" i="2" s="1"/>
  <c r="W208" i="2" a="1"/>
  <c r="W208" i="2" s="1"/>
  <c r="S208" i="2" a="1"/>
  <c r="S208" i="2" s="1"/>
  <c r="N208" i="2" a="1"/>
  <c r="N208" i="2" s="1"/>
  <c r="L208" i="2" a="1"/>
  <c r="L208" i="2" s="1"/>
  <c r="AG207" i="2" a="1"/>
  <c r="AG207" i="2" s="1"/>
  <c r="AH207" i="2" s="1" a="1"/>
  <c r="AH207" i="2" s="1"/>
  <c r="AI207" i="2" s="1" a="1"/>
  <c r="AI207" i="2" s="1"/>
  <c r="W207" i="2" a="1"/>
  <c r="W207" i="2" s="1"/>
  <c r="S207" i="2" a="1"/>
  <c r="S207" i="2" s="1"/>
  <c r="N207" i="2" a="1"/>
  <c r="N207" i="2" s="1"/>
  <c r="L207" i="2" a="1"/>
  <c r="L207" i="2" s="1"/>
  <c r="AG204" i="2" a="1"/>
  <c r="AG204" i="2" s="1"/>
  <c r="AH204" i="2" s="1" a="1"/>
  <c r="AH204" i="2" s="1"/>
  <c r="AI204" i="2" s="1" a="1"/>
  <c r="AI204" i="2" s="1"/>
  <c r="W204" i="2" a="1"/>
  <c r="W204" i="2" s="1"/>
  <c r="S204" i="2" a="1"/>
  <c r="S204" i="2" s="1"/>
  <c r="N204" i="2" a="1"/>
  <c r="N204" i="2" s="1"/>
  <c r="L204" i="2" a="1"/>
  <c r="L204" i="2" s="1"/>
  <c r="AG202" i="2" a="1"/>
  <c r="AG202" i="2" s="1"/>
  <c r="AH202" i="2" s="1" a="1"/>
  <c r="AH202" i="2" s="1"/>
  <c r="AI202" i="2" s="1" a="1"/>
  <c r="AI202" i="2" s="1"/>
  <c r="W202" i="2" a="1"/>
  <c r="W202" i="2" s="1"/>
  <c r="S202" i="2" a="1"/>
  <c r="S202" i="2" s="1"/>
  <c r="N202" i="2" a="1"/>
  <c r="N202" i="2" s="1"/>
  <c r="L202" i="2" a="1"/>
  <c r="L202" i="2" s="1"/>
  <c r="AG201" i="2" a="1"/>
  <c r="AG201" i="2" s="1"/>
  <c r="AH201" i="2" s="1" a="1"/>
  <c r="AH201" i="2" s="1"/>
  <c r="AI201" i="2" s="1" a="1"/>
  <c r="AI201" i="2" s="1"/>
  <c r="W201" i="2" a="1"/>
  <c r="W201" i="2" s="1"/>
  <c r="S201" i="2" a="1"/>
  <c r="S201" i="2" s="1"/>
  <c r="N201" i="2" a="1"/>
  <c r="N201" i="2" s="1"/>
  <c r="L201" i="2" a="1"/>
  <c r="L201" i="2" s="1"/>
  <c r="AG199" i="2" a="1"/>
  <c r="AG199" i="2" s="1"/>
  <c r="AH199" i="2" s="1" a="1"/>
  <c r="AH199" i="2" s="1"/>
  <c r="AI199" i="2" s="1" a="1"/>
  <c r="AI199" i="2" s="1"/>
  <c r="W199" i="2" a="1"/>
  <c r="W199" i="2" s="1"/>
  <c r="S199" i="2" a="1"/>
  <c r="S199" i="2" s="1"/>
  <c r="N199" i="2" a="1"/>
  <c r="N199" i="2" s="1"/>
  <c r="L199" i="2" a="1"/>
  <c r="L199" i="2" s="1"/>
  <c r="AG197" i="2" a="1"/>
  <c r="AG197" i="2" s="1"/>
  <c r="AH197" i="2" s="1" a="1"/>
  <c r="AH197" i="2" s="1"/>
  <c r="AI197" i="2" s="1" a="1"/>
  <c r="AI197" i="2" s="1"/>
  <c r="W197" i="2" a="1"/>
  <c r="W197" i="2" s="1"/>
  <c r="S197" i="2" a="1"/>
  <c r="S197" i="2" s="1"/>
  <c r="N197" i="2" a="1"/>
  <c r="N197" i="2" s="1"/>
  <c r="L197" i="2" a="1"/>
  <c r="L197" i="2" s="1"/>
  <c r="AG196" i="2" a="1"/>
  <c r="AG196" i="2" s="1"/>
  <c r="AH196" i="2" s="1" a="1"/>
  <c r="AH196" i="2" s="1"/>
  <c r="AI196" i="2" s="1" a="1"/>
  <c r="AI196" i="2" s="1"/>
  <c r="W196" i="2" a="1"/>
  <c r="W196" i="2" s="1"/>
  <c r="S196" i="2" a="1"/>
  <c r="S196" i="2" s="1"/>
  <c r="N196" i="2" a="1"/>
  <c r="N196" i="2" s="1"/>
  <c r="L196" i="2" a="1"/>
  <c r="L196" i="2" s="1"/>
  <c r="AG194" i="2" a="1"/>
  <c r="AG194" i="2" s="1"/>
  <c r="AH194" i="2" s="1" a="1"/>
  <c r="AH194" i="2" s="1"/>
  <c r="AI194" i="2" s="1" a="1"/>
  <c r="AI194" i="2" s="1"/>
  <c r="W194" i="2" a="1"/>
  <c r="W194" i="2" s="1"/>
  <c r="S194" i="2" a="1"/>
  <c r="S194" i="2" s="1"/>
  <c r="N194" i="2" a="1"/>
  <c r="N194" i="2" s="1"/>
  <c r="AG193" i="2" a="1"/>
  <c r="AG193" i="2" s="1"/>
  <c r="AH193" i="2" s="1" a="1"/>
  <c r="AH193" i="2" s="1"/>
  <c r="AI193" i="2" s="1" a="1"/>
  <c r="AI193" i="2" s="1"/>
  <c r="W193" i="2" a="1"/>
  <c r="W193" i="2" s="1"/>
  <c r="S193" i="2" a="1"/>
  <c r="S193" i="2" s="1"/>
  <c r="N193" i="2" a="1"/>
  <c r="N193" i="2" s="1"/>
  <c r="AG191" i="2" a="1"/>
  <c r="AG191" i="2" s="1"/>
  <c r="AH191" i="2" s="1" a="1"/>
  <c r="AH191" i="2" s="1"/>
  <c r="AI191" i="2" s="1" a="1"/>
  <c r="AI191" i="2" s="1"/>
  <c r="W191" i="2" a="1"/>
  <c r="W191" i="2" s="1"/>
  <c r="S191" i="2" a="1"/>
  <c r="S191" i="2" s="1"/>
  <c r="N191" i="2" a="1"/>
  <c r="N191" i="2" s="1"/>
  <c r="AG190" i="2" a="1"/>
  <c r="AG190" i="2" s="1"/>
  <c r="AH190" i="2" s="1" a="1"/>
  <c r="AH190" i="2" s="1"/>
  <c r="AI190" i="2" s="1" a="1"/>
  <c r="AI190" i="2" s="1"/>
  <c r="W190" i="2" a="1"/>
  <c r="W190" i="2" s="1"/>
  <c r="S190" i="2" a="1"/>
  <c r="S190" i="2" s="1"/>
  <c r="N190" i="2" a="1"/>
  <c r="N190" i="2" s="1"/>
  <c r="AG188" i="2" a="1"/>
  <c r="AG188" i="2" s="1"/>
  <c r="AH188" i="2" s="1" a="1"/>
  <c r="AH188" i="2" s="1"/>
  <c r="AI188" i="2" s="1" a="1"/>
  <c r="AI188" i="2" s="1"/>
  <c r="W188" i="2" a="1"/>
  <c r="W188" i="2" s="1"/>
  <c r="S188" i="2" a="1"/>
  <c r="S188" i="2" s="1"/>
  <c r="N188" i="2" a="1"/>
  <c r="N188" i="2" s="1"/>
  <c r="AG187" i="2" a="1"/>
  <c r="AG187" i="2" s="1"/>
  <c r="AH187" i="2" s="1" a="1"/>
  <c r="AH187" i="2" s="1"/>
  <c r="AI187" i="2" s="1" a="1"/>
  <c r="AI187" i="2" s="1"/>
  <c r="W187" i="2" a="1"/>
  <c r="W187" i="2" s="1"/>
  <c r="S187" i="2" a="1"/>
  <c r="S187" i="2" s="1"/>
  <c r="N187" i="2" a="1"/>
  <c r="N187" i="2" s="1"/>
  <c r="AG185" i="2" a="1"/>
  <c r="AG185" i="2" s="1"/>
  <c r="AH185" i="2" s="1" a="1"/>
  <c r="AH185" i="2" s="1"/>
  <c r="AI185" i="2" s="1" a="1"/>
  <c r="AI185" i="2" s="1"/>
  <c r="W185" i="2" a="1"/>
  <c r="W185" i="2" s="1"/>
  <c r="S185" i="2" a="1"/>
  <c r="S185" i="2" s="1"/>
  <c r="N185" i="2" a="1"/>
  <c r="N185" i="2" s="1"/>
  <c r="AG184" i="2" a="1"/>
  <c r="AG184" i="2" s="1"/>
  <c r="AH184" i="2" s="1" a="1"/>
  <c r="AH184" i="2" s="1"/>
  <c r="AI184" i="2" s="1" a="1"/>
  <c r="AI184" i="2" s="1"/>
  <c r="W184" i="2" a="1"/>
  <c r="W184" i="2" s="1"/>
  <c r="S184" i="2" a="1"/>
  <c r="S184" i="2" s="1"/>
  <c r="N184" i="2" a="1"/>
  <c r="N184" i="2" s="1"/>
  <c r="AG182" i="2" a="1"/>
  <c r="AG182" i="2" s="1"/>
  <c r="AH182" i="2" s="1" a="1"/>
  <c r="AH182" i="2" s="1"/>
  <c r="AI182" i="2" s="1" a="1"/>
  <c r="AI182" i="2" s="1"/>
  <c r="W182" i="2" a="1"/>
  <c r="W182" i="2" s="1"/>
  <c r="S182" i="2" a="1"/>
  <c r="S182" i="2" s="1"/>
  <c r="N182" i="2" a="1"/>
  <c r="N182" i="2" s="1"/>
  <c r="AG180" i="2" a="1"/>
  <c r="AG180" i="2" s="1"/>
  <c r="AH180" i="2" s="1" a="1"/>
  <c r="AH180" i="2" s="1"/>
  <c r="AI180" i="2" s="1" a="1"/>
  <c r="AI180" i="2" s="1"/>
  <c r="W180" i="2" a="1"/>
  <c r="W180" i="2" s="1"/>
  <c r="S180" i="2" a="1"/>
  <c r="S180" i="2" s="1"/>
  <c r="N180" i="2" a="1"/>
  <c r="N180" i="2" s="1"/>
  <c r="AG178" i="2" a="1"/>
  <c r="AG178" i="2" s="1"/>
  <c r="AH178" i="2" s="1" a="1"/>
  <c r="AH178" i="2" s="1"/>
  <c r="AI178" i="2" s="1" a="1"/>
  <c r="AI178" i="2" s="1"/>
  <c r="W178" i="2" a="1"/>
  <c r="W178" i="2" s="1"/>
  <c r="S178" i="2" a="1"/>
  <c r="S178" i="2" s="1"/>
  <c r="N178" i="2" a="1"/>
  <c r="N178" i="2" s="1"/>
  <c r="AG176" i="2" a="1"/>
  <c r="AG176" i="2" s="1"/>
  <c r="AH176" i="2" s="1" a="1"/>
  <c r="AH176" i="2" s="1"/>
  <c r="AI176" i="2" s="1" a="1"/>
  <c r="AI176" i="2" s="1"/>
  <c r="W176" i="2" a="1"/>
  <c r="W176" i="2" s="1"/>
  <c r="S176" i="2" a="1"/>
  <c r="S176" i="2" s="1"/>
  <c r="N176" i="2" a="1"/>
  <c r="N176" i="2" s="1"/>
  <c r="AG174" i="2" a="1"/>
  <c r="AG174" i="2" s="1"/>
  <c r="AH174" i="2" s="1" a="1"/>
  <c r="AH174" i="2" s="1"/>
  <c r="AI174" i="2" s="1" a="1"/>
  <c r="AI174" i="2" s="1"/>
  <c r="W174" i="2" a="1"/>
  <c r="W174" i="2" s="1"/>
  <c r="S174" i="2" a="1"/>
  <c r="S174" i="2" s="1"/>
  <c r="N174" i="2" a="1"/>
  <c r="N174" i="2" s="1"/>
  <c r="AG170" i="2" a="1"/>
  <c r="AG170" i="2" s="1"/>
  <c r="AH170" i="2" s="1" a="1"/>
  <c r="AH170" i="2" s="1"/>
  <c r="AI170" i="2" s="1" a="1"/>
  <c r="AI170" i="2" s="1"/>
  <c r="W170" i="2" a="1"/>
  <c r="W170" i="2" s="1"/>
  <c r="S170" i="2" a="1"/>
  <c r="S170" i="2" s="1"/>
  <c r="N170" i="2" a="1"/>
  <c r="N170" i="2" s="1"/>
  <c r="AG169" i="2" a="1"/>
  <c r="AG169" i="2" s="1"/>
  <c r="AH169" i="2" s="1" a="1"/>
  <c r="AH169" i="2" s="1"/>
  <c r="AI169" i="2" s="1" a="1"/>
  <c r="AI169" i="2" s="1"/>
  <c r="W169" i="2" a="1"/>
  <c r="W169" i="2" s="1"/>
  <c r="S169" i="2" a="1"/>
  <c r="S169" i="2" s="1"/>
  <c r="N169" i="2" a="1"/>
  <c r="N169" i="2" s="1"/>
  <c r="AG166" i="2" a="1"/>
  <c r="AG166" i="2" s="1"/>
  <c r="AH166" i="2" s="1" a="1"/>
  <c r="AH166" i="2" s="1"/>
  <c r="AI166" i="2" s="1" a="1"/>
  <c r="AI166" i="2" s="1"/>
  <c r="W166" i="2" a="1"/>
  <c r="W166" i="2" s="1"/>
  <c r="S166" i="2" a="1"/>
  <c r="S166" i="2" s="1"/>
  <c r="N166" i="2" a="1"/>
  <c r="N166" i="2" s="1"/>
  <c r="AG165" i="2" a="1"/>
  <c r="AG165" i="2" s="1"/>
  <c r="AH165" i="2" s="1" a="1"/>
  <c r="AH165" i="2" s="1"/>
  <c r="AI165" i="2" s="1" a="1"/>
  <c r="AI165" i="2" s="1"/>
  <c r="W165" i="2" a="1"/>
  <c r="W165" i="2" s="1"/>
  <c r="S165" i="2" a="1"/>
  <c r="S165" i="2" s="1"/>
  <c r="N165" i="2" a="1"/>
  <c r="N165" i="2" s="1"/>
  <c r="AG162" i="2" a="1"/>
  <c r="AG162" i="2" s="1"/>
  <c r="AH162" i="2" s="1" a="1"/>
  <c r="AH162" i="2" s="1"/>
  <c r="AI162" i="2" s="1" a="1"/>
  <c r="AI162" i="2" s="1"/>
  <c r="W162" i="2" a="1"/>
  <c r="W162" i="2" s="1"/>
  <c r="S162" i="2" a="1"/>
  <c r="S162" i="2" s="1"/>
  <c r="N162" i="2" a="1"/>
  <c r="N162" i="2" s="1"/>
  <c r="AG161" i="2" a="1"/>
  <c r="AG161" i="2" s="1"/>
  <c r="AH161" i="2" s="1" a="1"/>
  <c r="AH161" i="2" s="1"/>
  <c r="AI161" i="2" s="1" a="1"/>
  <c r="AI161" i="2" s="1"/>
  <c r="W161" i="2" a="1"/>
  <c r="W161" i="2" s="1"/>
  <c r="S161" i="2" a="1"/>
  <c r="S161" i="2" s="1"/>
  <c r="N161" i="2" a="1"/>
  <c r="N161" i="2" s="1"/>
  <c r="AG158" i="2" a="1"/>
  <c r="AG158" i="2" s="1"/>
  <c r="AH158" i="2" s="1" a="1"/>
  <c r="AH158" i="2" s="1"/>
  <c r="AI158" i="2" s="1" a="1"/>
  <c r="AI158" i="2" s="1"/>
  <c r="W158" i="2" a="1"/>
  <c r="W158" i="2" s="1"/>
  <c r="S158" i="2" a="1"/>
  <c r="S158" i="2" s="1"/>
  <c r="N158" i="2" a="1"/>
  <c r="N158" i="2" s="1"/>
  <c r="AG157" i="2" a="1"/>
  <c r="AG157" i="2" s="1"/>
  <c r="AH157" i="2" s="1" a="1"/>
  <c r="AH157" i="2" s="1"/>
  <c r="AI157" i="2" s="1" a="1"/>
  <c r="AI157" i="2" s="1"/>
  <c r="W157" i="2" a="1"/>
  <c r="W157" i="2" s="1"/>
  <c r="S157" i="2" a="1"/>
  <c r="S157" i="2" s="1"/>
  <c r="N157" i="2" a="1"/>
  <c r="N157" i="2" s="1"/>
  <c r="AG154" i="2" a="1"/>
  <c r="AG154" i="2" s="1"/>
  <c r="AH154" i="2" s="1" a="1"/>
  <c r="AH154" i="2" s="1"/>
  <c r="AI154" i="2" s="1" a="1"/>
  <c r="AI154" i="2" s="1"/>
  <c r="W154" i="2" a="1"/>
  <c r="W154" i="2" s="1"/>
  <c r="S154" i="2" a="1"/>
  <c r="S154" i="2" s="1"/>
  <c r="N154" i="2" a="1"/>
  <c r="N154" i="2" s="1"/>
  <c r="AG172" i="2" a="1"/>
  <c r="AG172" i="2" s="1"/>
  <c r="AH172" i="2" s="1" a="1"/>
  <c r="AH172" i="2" s="1"/>
  <c r="AI172" i="2" s="1" a="1"/>
  <c r="AI172" i="2" s="1"/>
  <c r="W172" i="2" a="1"/>
  <c r="W172" i="2" s="1"/>
  <c r="S172" i="2" a="1"/>
  <c r="S172" i="2" s="1"/>
  <c r="N172" i="2" a="1"/>
  <c r="N172" i="2" s="1"/>
  <c r="AG168" i="2" a="1"/>
  <c r="AG168" i="2" s="1"/>
  <c r="AH168" i="2" s="1" a="1"/>
  <c r="AH168" i="2" s="1"/>
  <c r="AI168" i="2" s="1" a="1"/>
  <c r="AI168" i="2" s="1"/>
  <c r="W168" i="2" a="1"/>
  <c r="W168" i="2" s="1"/>
  <c r="S168" i="2" a="1"/>
  <c r="S168" i="2" s="1"/>
  <c r="N168" i="2" a="1"/>
  <c r="N168" i="2" s="1"/>
  <c r="AG164" i="2" a="1"/>
  <c r="AG164" i="2" s="1"/>
  <c r="AH164" i="2" s="1" a="1"/>
  <c r="AH164" i="2" s="1"/>
  <c r="AI164" i="2" s="1" a="1"/>
  <c r="AI164" i="2" s="1"/>
  <c r="W164" i="2" a="1"/>
  <c r="W164" i="2" s="1"/>
  <c r="S164" i="2" a="1"/>
  <c r="S164" i="2" s="1"/>
  <c r="N164" i="2" a="1"/>
  <c r="N164" i="2" s="1"/>
  <c r="AG160" i="2" a="1"/>
  <c r="AG160" i="2" s="1"/>
  <c r="AH160" i="2" s="1" a="1"/>
  <c r="AH160" i="2" s="1"/>
  <c r="AI160" i="2" s="1" a="1"/>
  <c r="AI160" i="2" s="1"/>
  <c r="W160" i="2" a="1"/>
  <c r="W160" i="2" s="1"/>
  <c r="S160" i="2" a="1"/>
  <c r="S160" i="2" s="1"/>
  <c r="N160" i="2" a="1"/>
  <c r="N160" i="2" s="1"/>
  <c r="AG156" i="2" a="1"/>
  <c r="AG156" i="2" s="1"/>
  <c r="AH156" i="2" s="1" a="1"/>
  <c r="AH156" i="2" s="1"/>
  <c r="AI156" i="2" s="1" a="1"/>
  <c r="AI156" i="2" s="1"/>
  <c r="W156" i="2" a="1"/>
  <c r="W156" i="2" s="1"/>
  <c r="S156" i="2" a="1"/>
  <c r="S156" i="2" s="1"/>
  <c r="N156" i="2" a="1"/>
  <c r="N156" i="2" s="1"/>
  <c r="AG153" i="2" a="1"/>
  <c r="AG153" i="2" s="1"/>
  <c r="AH153" i="2" s="1" a="1"/>
  <c r="AH153" i="2" s="1"/>
  <c r="AI153" i="2" s="1" a="1"/>
  <c r="AI153" i="2" s="1"/>
  <c r="W153" i="2" a="1"/>
  <c r="W153" i="2" s="1"/>
  <c r="S153" i="2" a="1"/>
  <c r="S153" i="2" s="1"/>
  <c r="N153" i="2" a="1"/>
  <c r="N153" i="2" s="1"/>
  <c r="AG151" i="2" a="1"/>
  <c r="AG151" i="2" s="1"/>
  <c r="AH151" i="2" s="1" a="1"/>
  <c r="AH151" i="2" s="1"/>
  <c r="AI151" i="2" s="1" a="1"/>
  <c r="AI151" i="2" s="1"/>
  <c r="W151" i="2" a="1"/>
  <c r="W151" i="2" s="1"/>
  <c r="S151" i="2" a="1"/>
  <c r="S151" i="2" s="1"/>
  <c r="N151" i="2" a="1"/>
  <c r="N151" i="2" s="1"/>
  <c r="AG147" i="2" a="1"/>
  <c r="AG147" i="2" s="1"/>
  <c r="AH147" i="2" s="1" a="1"/>
  <c r="AH147" i="2" s="1"/>
  <c r="AI147" i="2" s="1" a="1"/>
  <c r="AI147" i="2" s="1"/>
  <c r="W147" i="2" a="1"/>
  <c r="W147" i="2" s="1"/>
  <c r="S147" i="2" a="1"/>
  <c r="S147" i="2" s="1"/>
  <c r="N147" i="2" a="1"/>
  <c r="N147" i="2" s="1"/>
  <c r="AG146" i="2" a="1"/>
  <c r="AG146" i="2" s="1"/>
  <c r="AH146" i="2" s="1" a="1"/>
  <c r="AH146" i="2" s="1"/>
  <c r="AI146" i="2" s="1" a="1"/>
  <c r="AI146" i="2" s="1"/>
  <c r="W146" i="2" a="1"/>
  <c r="W146" i="2" s="1"/>
  <c r="S146" i="2" a="1"/>
  <c r="S146" i="2" s="1"/>
  <c r="N146" i="2" a="1"/>
  <c r="N146" i="2" s="1"/>
  <c r="AG144" i="2" a="1"/>
  <c r="AG144" i="2" s="1"/>
  <c r="AH144" i="2" s="1" a="1"/>
  <c r="AH144" i="2" s="1"/>
  <c r="AI144" i="2" s="1" a="1"/>
  <c r="AI144" i="2" s="1"/>
  <c r="W144" i="2" a="1"/>
  <c r="W144" i="2" s="1"/>
  <c r="S144" i="2" a="1"/>
  <c r="S144" i="2" s="1"/>
  <c r="N144" i="2" a="1"/>
  <c r="N144" i="2" s="1"/>
  <c r="AG143" i="2" a="1"/>
  <c r="AG143" i="2" s="1"/>
  <c r="AH143" i="2" s="1" a="1"/>
  <c r="AH143" i="2" s="1"/>
  <c r="AI143" i="2" s="1" a="1"/>
  <c r="AI143" i="2" s="1"/>
  <c r="W143" i="2" a="1"/>
  <c r="W143" i="2" s="1"/>
  <c r="S143" i="2" a="1"/>
  <c r="S143" i="2" s="1"/>
  <c r="N143" i="2" a="1"/>
  <c r="N143" i="2" s="1"/>
  <c r="AG141" i="2" a="1"/>
  <c r="AG141" i="2" s="1"/>
  <c r="AH141" i="2" s="1" a="1"/>
  <c r="AH141" i="2" s="1"/>
  <c r="AI141" i="2" s="1" a="1"/>
  <c r="AI141" i="2" s="1"/>
  <c r="W141" i="2" a="1"/>
  <c r="W141" i="2" s="1"/>
  <c r="S141" i="2" a="1"/>
  <c r="S141" i="2" s="1"/>
  <c r="N141" i="2" a="1"/>
  <c r="N141" i="2" s="1"/>
  <c r="AG140" i="2" a="1"/>
  <c r="AG140" i="2" s="1"/>
  <c r="AH140" i="2" s="1" a="1"/>
  <c r="AH140" i="2" s="1"/>
  <c r="AI140" i="2" s="1" a="1"/>
  <c r="AI140" i="2" s="1"/>
  <c r="W140" i="2" a="1"/>
  <c r="W140" i="2" s="1"/>
  <c r="S140" i="2" a="1"/>
  <c r="S140" i="2" s="1"/>
  <c r="N140" i="2" a="1"/>
  <c r="N140" i="2" s="1"/>
  <c r="AG138" i="2" a="1"/>
  <c r="AG138" i="2" s="1"/>
  <c r="AH138" i="2" s="1" a="1"/>
  <c r="AH138" i="2" s="1"/>
  <c r="AI138" i="2" s="1" a="1"/>
  <c r="AI138" i="2" s="1"/>
  <c r="W138" i="2" a="1"/>
  <c r="W138" i="2" s="1"/>
  <c r="S138" i="2" a="1"/>
  <c r="S138" i="2" s="1"/>
  <c r="N138" i="2" a="1"/>
  <c r="N138" i="2" s="1"/>
  <c r="AG137" i="2" a="1"/>
  <c r="AG137" i="2" s="1"/>
  <c r="AH137" i="2" s="1" a="1"/>
  <c r="AH137" i="2" s="1"/>
  <c r="AI137" i="2" s="1" a="1"/>
  <c r="AI137" i="2" s="1"/>
  <c r="W137" i="2" a="1"/>
  <c r="W137" i="2" s="1"/>
  <c r="S137" i="2" a="1"/>
  <c r="S137" i="2" s="1"/>
  <c r="N137" i="2" a="1"/>
  <c r="N137" i="2" s="1"/>
  <c r="AG135" i="2" a="1"/>
  <c r="AG135" i="2" s="1"/>
  <c r="AH135" i="2" s="1" a="1"/>
  <c r="AH135" i="2" s="1"/>
  <c r="AI135" i="2" s="1" a="1"/>
  <c r="AI135" i="2" s="1"/>
  <c r="W135" i="2" a="1"/>
  <c r="W135" i="2" s="1"/>
  <c r="S135" i="2" a="1"/>
  <c r="S135" i="2" s="1"/>
  <c r="N135" i="2" a="1"/>
  <c r="N135" i="2" s="1"/>
  <c r="AG134" i="2" a="1"/>
  <c r="AG134" i="2" s="1"/>
  <c r="AH134" i="2" s="1" a="1"/>
  <c r="AH134" i="2" s="1"/>
  <c r="AI134" i="2" s="1" a="1"/>
  <c r="AI134" i="2" s="1"/>
  <c r="W134" i="2" a="1"/>
  <c r="W134" i="2" s="1"/>
  <c r="S134" i="2" a="1"/>
  <c r="S134" i="2" s="1"/>
  <c r="N134" i="2" a="1"/>
  <c r="N134" i="2" s="1"/>
  <c r="AG132" i="2" a="1"/>
  <c r="AG132" i="2" s="1"/>
  <c r="AH132" i="2" s="1" a="1"/>
  <c r="AH132" i="2" s="1"/>
  <c r="AI132" i="2" s="1" a="1"/>
  <c r="AI132" i="2" s="1"/>
  <c r="W132" i="2" a="1"/>
  <c r="W132" i="2" s="1"/>
  <c r="S132" i="2" a="1"/>
  <c r="S132" i="2" s="1"/>
  <c r="N132" i="2" a="1"/>
  <c r="N132" i="2" s="1"/>
  <c r="AG131" i="2" a="1"/>
  <c r="AG131" i="2" s="1"/>
  <c r="AH131" i="2" s="1" a="1"/>
  <c r="AH131" i="2" s="1"/>
  <c r="AI131" i="2" s="1" a="1"/>
  <c r="AI131" i="2" s="1"/>
  <c r="W131" i="2" a="1"/>
  <c r="W131" i="2" s="1"/>
  <c r="S131" i="2" a="1"/>
  <c r="S131" i="2" s="1"/>
  <c r="N131" i="2" a="1"/>
  <c r="N131" i="2" s="1"/>
  <c r="AG129" i="2" a="1"/>
  <c r="AG129" i="2" s="1"/>
  <c r="AH129" i="2" s="1" a="1"/>
  <c r="AH129" i="2" s="1"/>
  <c r="AI129" i="2" s="1" a="1"/>
  <c r="AI129" i="2" s="1"/>
  <c r="W129" i="2" a="1"/>
  <c r="W129" i="2" s="1"/>
  <c r="S129" i="2" a="1"/>
  <c r="S129" i="2" s="1"/>
  <c r="N129" i="2" a="1"/>
  <c r="N129" i="2" s="1"/>
  <c r="AG128" i="2" a="1"/>
  <c r="AG128" i="2" s="1"/>
  <c r="AH128" i="2" s="1" a="1"/>
  <c r="AH128" i="2" s="1"/>
  <c r="AI128" i="2" s="1" a="1"/>
  <c r="AI128" i="2" s="1"/>
  <c r="W128" i="2" a="1"/>
  <c r="W128" i="2" s="1"/>
  <c r="S128" i="2" a="1"/>
  <c r="S128" i="2" s="1"/>
  <c r="N128" i="2" a="1"/>
  <c r="N128" i="2" s="1"/>
  <c r="AG126" i="2" a="1"/>
  <c r="AG126" i="2" s="1"/>
  <c r="AH126" i="2" s="1" a="1"/>
  <c r="AH126" i="2" s="1"/>
  <c r="AI126" i="2" s="1" a="1"/>
  <c r="AI126" i="2" s="1"/>
  <c r="W126" i="2" a="1"/>
  <c r="W126" i="2" s="1"/>
  <c r="S126" i="2" a="1"/>
  <c r="S126" i="2" s="1"/>
  <c r="N126" i="2" a="1"/>
  <c r="N126" i="2" s="1"/>
  <c r="AG125" i="2" a="1"/>
  <c r="AG125" i="2" s="1"/>
  <c r="AH125" i="2" s="1" a="1"/>
  <c r="AH125" i="2" s="1"/>
  <c r="AI125" i="2" s="1" a="1"/>
  <c r="AI125" i="2" s="1"/>
  <c r="W125" i="2" a="1"/>
  <c r="W125" i="2" s="1"/>
  <c r="S125" i="2" a="1"/>
  <c r="S125" i="2" s="1"/>
  <c r="N125" i="2" a="1"/>
  <c r="N125" i="2" s="1"/>
  <c r="AG123" i="2" a="1"/>
  <c r="AG123" i="2" s="1"/>
  <c r="AH123" i="2" s="1" a="1"/>
  <c r="AH123" i="2" s="1"/>
  <c r="AI123" i="2" s="1" a="1"/>
  <c r="AI123" i="2" s="1"/>
  <c r="W123" i="2" a="1"/>
  <c r="W123" i="2" s="1"/>
  <c r="S123" i="2" a="1"/>
  <c r="S123" i="2" s="1"/>
  <c r="N123" i="2" a="1"/>
  <c r="N123" i="2" s="1"/>
  <c r="AG122" i="2" a="1"/>
  <c r="AG122" i="2" s="1"/>
  <c r="AH122" i="2" s="1" a="1"/>
  <c r="AH122" i="2" s="1"/>
  <c r="AI122" i="2" s="1" a="1"/>
  <c r="AI122" i="2" s="1"/>
  <c r="W122" i="2" a="1"/>
  <c r="W122" i="2" s="1"/>
  <c r="S122" i="2" a="1"/>
  <c r="S122" i="2" s="1"/>
  <c r="N122" i="2" a="1"/>
  <c r="N122" i="2" s="1"/>
  <c r="AG120" i="2" a="1"/>
  <c r="AG120" i="2" s="1"/>
  <c r="AH120" i="2" s="1" a="1"/>
  <c r="AH120" i="2" s="1"/>
  <c r="AI120" i="2" s="1" a="1"/>
  <c r="AI120" i="2" s="1"/>
  <c r="W120" i="2" a="1"/>
  <c r="W120" i="2" s="1"/>
  <c r="S120" i="2" a="1"/>
  <c r="S120" i="2" s="1"/>
  <c r="N120" i="2" a="1"/>
  <c r="N120" i="2" s="1"/>
  <c r="AG119" i="2" a="1"/>
  <c r="AG119" i="2" s="1"/>
  <c r="AH119" i="2" s="1" a="1"/>
  <c r="AH119" i="2" s="1"/>
  <c r="AI119" i="2" s="1" a="1"/>
  <c r="AI119" i="2" s="1"/>
  <c r="W119" i="2" a="1"/>
  <c r="W119" i="2" s="1"/>
  <c r="S119" i="2" a="1"/>
  <c r="S119" i="2" s="1"/>
  <c r="N119" i="2" a="1"/>
  <c r="N119" i="2" s="1"/>
  <c r="AG117" i="2" a="1"/>
  <c r="AG117" i="2" s="1"/>
  <c r="AH117" i="2" s="1" a="1"/>
  <c r="AH117" i="2" s="1"/>
  <c r="AI117" i="2" s="1" a="1"/>
  <c r="AI117" i="2" s="1"/>
  <c r="W117" i="2" a="1"/>
  <c r="W117" i="2" s="1"/>
  <c r="S117" i="2" a="1"/>
  <c r="S117" i="2" s="1"/>
  <c r="N117" i="2" a="1"/>
  <c r="N117" i="2" s="1"/>
  <c r="AG115" i="2" a="1"/>
  <c r="AG115" i="2" s="1"/>
  <c r="AH115" i="2" s="1" a="1"/>
  <c r="AH115" i="2" s="1"/>
  <c r="AI115" i="2" s="1" a="1"/>
  <c r="AI115" i="2" s="1"/>
  <c r="W115" i="2" a="1"/>
  <c r="W115" i="2" s="1"/>
  <c r="S115" i="2" a="1"/>
  <c r="S115" i="2" s="1"/>
  <c r="N115" i="2" a="1"/>
  <c r="N115" i="2" s="1"/>
  <c r="AG113" i="2" a="1"/>
  <c r="AG113" i="2" s="1"/>
  <c r="AH113" i="2" s="1" a="1"/>
  <c r="AH113" i="2" s="1"/>
  <c r="AI113" i="2" s="1" a="1"/>
  <c r="AI113" i="2" s="1"/>
  <c r="W113" i="2" a="1"/>
  <c r="W113" i="2" s="1"/>
  <c r="S113" i="2" a="1"/>
  <c r="S113" i="2" s="1"/>
  <c r="N113" i="2" a="1"/>
  <c r="N113" i="2" s="1"/>
  <c r="AG111" i="2" a="1"/>
  <c r="AG111" i="2" s="1"/>
  <c r="AH111" i="2" s="1" a="1"/>
  <c r="AH111" i="2" s="1"/>
  <c r="AI111" i="2" s="1" a="1"/>
  <c r="AI111" i="2" s="1"/>
  <c r="W111" i="2" a="1"/>
  <c r="W111" i="2" s="1"/>
  <c r="S111" i="2" a="1"/>
  <c r="S111" i="2" s="1"/>
  <c r="N111" i="2" a="1"/>
  <c r="N111" i="2" s="1"/>
  <c r="AG109" i="2" a="1"/>
  <c r="AG109" i="2" s="1"/>
  <c r="AH109" i="2" s="1" a="1"/>
  <c r="AH109" i="2" s="1"/>
  <c r="AI109" i="2" s="1" a="1"/>
  <c r="AI109" i="2" s="1"/>
  <c r="W109" i="2" a="1"/>
  <c r="W109" i="2" s="1"/>
  <c r="S109" i="2" a="1"/>
  <c r="S109" i="2" s="1"/>
  <c r="N109" i="2" a="1"/>
  <c r="N109" i="2" s="1"/>
  <c r="AG107" i="2" a="1"/>
  <c r="AG107" i="2" s="1"/>
  <c r="AH107" i="2" s="1" a="1"/>
  <c r="AH107" i="2" s="1"/>
  <c r="AI107" i="2" s="1" a="1"/>
  <c r="AI107" i="2" s="1"/>
  <c r="W107" i="2" a="1"/>
  <c r="W107" i="2" s="1"/>
  <c r="S107" i="2" a="1"/>
  <c r="S107" i="2" s="1"/>
  <c r="N107" i="2" a="1"/>
  <c r="N107" i="2" s="1"/>
  <c r="AG105" i="2" a="1"/>
  <c r="AG105" i="2" s="1"/>
  <c r="AH105" i="2" s="1" a="1"/>
  <c r="AH105" i="2" s="1"/>
  <c r="AI105" i="2" s="1" a="1"/>
  <c r="AI105" i="2" s="1"/>
  <c r="W105" i="2" a="1"/>
  <c r="W105" i="2" s="1"/>
  <c r="S105" i="2" a="1"/>
  <c r="S105" i="2" s="1"/>
  <c r="N105" i="2" a="1"/>
  <c r="N105" i="2" s="1"/>
  <c r="AG103" i="2" a="1"/>
  <c r="AG103" i="2" s="1"/>
  <c r="AH103" i="2" s="1" a="1"/>
  <c r="AH103" i="2" s="1"/>
  <c r="AI103" i="2" s="1" a="1"/>
  <c r="AI103" i="2" s="1"/>
  <c r="W103" i="2" a="1"/>
  <c r="W103" i="2" s="1"/>
  <c r="S103" i="2" a="1"/>
  <c r="S103" i="2" s="1"/>
  <c r="N103" i="2" a="1"/>
  <c r="N103" i="2" s="1"/>
  <c r="AG101" i="2" a="1"/>
  <c r="AG101" i="2" s="1"/>
  <c r="AH101" i="2" s="1" a="1"/>
  <c r="AH101" i="2" s="1"/>
  <c r="AI101" i="2" s="1" a="1"/>
  <c r="AI101" i="2" s="1"/>
  <c r="W101" i="2" a="1"/>
  <c r="W101" i="2" s="1"/>
  <c r="S101" i="2" a="1"/>
  <c r="S101" i="2" s="1"/>
  <c r="N101" i="2" a="1"/>
  <c r="N101" i="2" s="1"/>
  <c r="AG99" i="2" a="1"/>
  <c r="AG99" i="2" s="1"/>
  <c r="AH99" i="2" s="1" a="1"/>
  <c r="AH99" i="2" s="1"/>
  <c r="AI99" i="2" s="1" a="1"/>
  <c r="AI99" i="2" s="1"/>
  <c r="W99" i="2" a="1"/>
  <c r="W99" i="2" s="1"/>
  <c r="S99" i="2" a="1"/>
  <c r="S99" i="2" s="1"/>
  <c r="N99" i="2" a="1"/>
  <c r="N99" i="2" s="1"/>
  <c r="AG97" i="2" a="1"/>
  <c r="AG97" i="2" s="1"/>
  <c r="AH97" i="2" s="1" a="1"/>
  <c r="AH97" i="2" s="1"/>
  <c r="AI97" i="2" s="1" a="1"/>
  <c r="AI97" i="2" s="1"/>
  <c r="S97" i="2" a="1"/>
  <c r="S97" i="2" s="1"/>
  <c r="N97" i="2" a="1"/>
  <c r="N97" i="2" s="1"/>
  <c r="AG94" i="2" a="1"/>
  <c r="AG94" i="2" s="1"/>
  <c r="AH94" i="2" s="1" a="1"/>
  <c r="AH94" i="2" s="1"/>
  <c r="AI94" i="2" s="1" a="1"/>
  <c r="AI94" i="2" s="1"/>
  <c r="S94" i="2" a="1"/>
  <c r="S94" i="2" s="1"/>
  <c r="N94" i="2" a="1"/>
  <c r="N94" i="2" s="1"/>
  <c r="AG93" i="2" a="1"/>
  <c r="AG93" i="2" s="1"/>
  <c r="AH93" i="2" s="1" a="1"/>
  <c r="AH93" i="2" s="1"/>
  <c r="AI93" i="2" s="1" a="1"/>
  <c r="AI93" i="2" s="1"/>
  <c r="S93" i="2" a="1"/>
  <c r="S93" i="2" s="1"/>
  <c r="N93" i="2" a="1"/>
  <c r="N93" i="2" s="1"/>
  <c r="AG90" i="2" a="1"/>
  <c r="AG90" i="2" s="1"/>
  <c r="AH90" i="2" s="1" a="1"/>
  <c r="AH90" i="2" s="1"/>
  <c r="AI90" i="2" s="1" a="1"/>
  <c r="AI90" i="2" s="1"/>
  <c r="S90" i="2" a="1"/>
  <c r="S90" i="2" s="1"/>
  <c r="N90" i="2" a="1"/>
  <c r="N90" i="2" s="1"/>
  <c r="AG89" i="2" a="1"/>
  <c r="AG89" i="2" s="1"/>
  <c r="AH89" i="2" s="1" a="1"/>
  <c r="AH89" i="2" s="1"/>
  <c r="AI89" i="2" s="1" a="1"/>
  <c r="AI89" i="2" s="1"/>
  <c r="W89" i="2" a="1"/>
  <c r="W89" i="2" s="1"/>
  <c r="S89" i="2" a="1"/>
  <c r="S89" i="2" s="1"/>
  <c r="N89" i="2" a="1"/>
  <c r="N89" i="2" s="1"/>
  <c r="AG86" i="2" a="1"/>
  <c r="AG86" i="2" s="1"/>
  <c r="AH86" i="2" s="1" a="1"/>
  <c r="AH86" i="2" s="1"/>
  <c r="AI86" i="2" s="1" a="1"/>
  <c r="AI86" i="2" s="1"/>
  <c r="W86" i="2" a="1"/>
  <c r="W86" i="2" s="1"/>
  <c r="S86" i="2" a="1"/>
  <c r="S86" i="2" s="1"/>
  <c r="N86" i="2" a="1"/>
  <c r="N86" i="2" s="1"/>
  <c r="AG85" i="2" a="1"/>
  <c r="AG85" i="2" s="1"/>
  <c r="AH85" i="2" s="1" a="1"/>
  <c r="AH85" i="2" s="1"/>
  <c r="AI85" i="2" s="1" a="1"/>
  <c r="AI85" i="2" s="1"/>
  <c r="W85" i="2" a="1"/>
  <c r="W85" i="2" s="1"/>
  <c r="S85" i="2" a="1"/>
  <c r="S85" i="2" s="1"/>
  <c r="N85" i="2" a="1"/>
  <c r="N85" i="2" s="1"/>
  <c r="AG82" i="2" a="1"/>
  <c r="AG82" i="2" s="1"/>
  <c r="AH82" i="2" s="1" a="1"/>
  <c r="AH82" i="2" s="1"/>
  <c r="AI82" i="2" s="1" a="1"/>
  <c r="AI82" i="2" s="1"/>
  <c r="W82" i="2" a="1"/>
  <c r="W82" i="2" s="1"/>
  <c r="S82" i="2" a="1"/>
  <c r="S82" i="2" s="1"/>
  <c r="N82" i="2" a="1"/>
  <c r="N82" i="2" s="1"/>
  <c r="AG81" i="2" a="1"/>
  <c r="AG81" i="2" s="1"/>
  <c r="AH81" i="2" s="1" a="1"/>
  <c r="AH81" i="2" s="1"/>
  <c r="AI81" i="2" s="1" a="1"/>
  <c r="AI81" i="2" s="1"/>
  <c r="W81" i="2" a="1"/>
  <c r="W81" i="2" s="1"/>
  <c r="S81" i="2" a="1"/>
  <c r="S81" i="2" s="1"/>
  <c r="N81" i="2" a="1"/>
  <c r="N81" i="2" s="1"/>
  <c r="AG78" i="2" a="1"/>
  <c r="AG78" i="2" s="1"/>
  <c r="AH78" i="2" s="1" a="1"/>
  <c r="AH78" i="2" s="1"/>
  <c r="AI78" i="2" s="1" a="1"/>
  <c r="AI78" i="2" s="1"/>
  <c r="W78" i="2" a="1"/>
  <c r="W78" i="2" s="1"/>
  <c r="S78" i="2" a="1"/>
  <c r="S78" i="2" s="1"/>
  <c r="N78" i="2" a="1"/>
  <c r="N78" i="2" s="1"/>
  <c r="AG77" i="2" a="1"/>
  <c r="AG77" i="2" s="1"/>
  <c r="AH77" i="2" s="1" a="1"/>
  <c r="AH77" i="2" s="1"/>
  <c r="AI77" i="2" s="1" a="1"/>
  <c r="AI77" i="2" s="1"/>
  <c r="W77" i="2" a="1"/>
  <c r="W77" i="2" s="1"/>
  <c r="S77" i="2" a="1"/>
  <c r="S77" i="2" s="1"/>
  <c r="N77" i="2" a="1"/>
  <c r="N77" i="2" s="1"/>
  <c r="AG74" i="2" a="1"/>
  <c r="AG74" i="2" s="1"/>
  <c r="AH74" i="2" s="1" a="1"/>
  <c r="AH74" i="2" s="1"/>
  <c r="AI74" i="2" s="1" a="1"/>
  <c r="AI74" i="2" s="1"/>
  <c r="W74" i="2" a="1"/>
  <c r="W74" i="2" s="1"/>
  <c r="S74" i="2" a="1"/>
  <c r="S74" i="2" s="1"/>
  <c r="N74" i="2" a="1"/>
  <c r="N74" i="2" s="1"/>
  <c r="AG73" i="2" a="1"/>
  <c r="AG73" i="2" s="1"/>
  <c r="AH73" i="2" s="1" a="1"/>
  <c r="AH73" i="2" s="1"/>
  <c r="AI73" i="2" s="1" a="1"/>
  <c r="AI73" i="2" s="1"/>
  <c r="W73" i="2" a="1"/>
  <c r="W73" i="2" s="1"/>
  <c r="S73" i="2" a="1"/>
  <c r="S73" i="2" s="1"/>
  <c r="N73" i="2" a="1"/>
  <c r="N73" i="2" s="1"/>
  <c r="AG70" i="2" a="1"/>
  <c r="AG70" i="2" s="1"/>
  <c r="AH70" i="2" s="1" a="1"/>
  <c r="AH70" i="2" s="1"/>
  <c r="AI70" i="2" s="1" a="1"/>
  <c r="AI70" i="2" s="1"/>
  <c r="W70" i="2" a="1"/>
  <c r="W70" i="2" s="1"/>
  <c r="S70" i="2" a="1"/>
  <c r="S70" i="2" s="1"/>
  <c r="N70" i="2" a="1"/>
  <c r="N70" i="2" s="1"/>
  <c r="AG69" i="2" a="1"/>
  <c r="AG69" i="2" s="1"/>
  <c r="AH69" i="2" s="1" a="1"/>
  <c r="AH69" i="2" s="1"/>
  <c r="AI69" i="2" s="1" a="1"/>
  <c r="AI69" i="2" s="1"/>
  <c r="W69" i="2" a="1"/>
  <c r="W69" i="2" s="1"/>
  <c r="S69" i="2" a="1"/>
  <c r="S69" i="2" s="1"/>
  <c r="N69" i="2" a="1"/>
  <c r="N69" i="2" s="1"/>
  <c r="AG66" i="2" a="1"/>
  <c r="AG66" i="2" s="1"/>
  <c r="AH66" i="2" s="1" a="1"/>
  <c r="AH66" i="2" s="1"/>
  <c r="AI66" i="2" s="1" a="1"/>
  <c r="AI66" i="2" s="1"/>
  <c r="W66" i="2" a="1"/>
  <c r="W66" i="2" s="1"/>
  <c r="S66" i="2" a="1"/>
  <c r="S66" i="2" s="1"/>
  <c r="N66" i="2" a="1"/>
  <c r="N66" i="2" s="1"/>
  <c r="AG65" i="2" a="1"/>
  <c r="AG65" i="2" s="1"/>
  <c r="AH65" i="2" s="1" a="1"/>
  <c r="AH65" i="2" s="1"/>
  <c r="AI65" i="2" s="1" a="1"/>
  <c r="AI65" i="2" s="1"/>
  <c r="W65" i="2" a="1"/>
  <c r="W65" i="2" s="1"/>
  <c r="S65" i="2" a="1"/>
  <c r="S65" i="2" s="1"/>
  <c r="N65" i="2" a="1"/>
  <c r="N65" i="2" s="1"/>
  <c r="AG62" i="2" a="1"/>
  <c r="AG62" i="2" s="1"/>
  <c r="AH62" i="2" s="1" a="1"/>
  <c r="AH62" i="2" s="1"/>
  <c r="AI62" i="2" s="1" a="1"/>
  <c r="AI62" i="2" s="1"/>
  <c r="W62" i="2" a="1"/>
  <c r="W62" i="2" s="1"/>
  <c r="S62" i="2" a="1"/>
  <c r="S62" i="2" s="1"/>
  <c r="N62" i="2" a="1"/>
  <c r="N62" i="2" s="1"/>
  <c r="AG59" i="2" a="1"/>
  <c r="AG59" i="2" s="1"/>
  <c r="AH59" i="2" s="1" a="1"/>
  <c r="AH59" i="2" s="1"/>
  <c r="AI59" i="2" s="1" a="1"/>
  <c r="AI59" i="2" s="1"/>
  <c r="W59" i="2" a="1"/>
  <c r="W59" i="2" s="1"/>
  <c r="S59" i="2" a="1"/>
  <c r="S59" i="2" s="1"/>
  <c r="AG56" i="2" a="1"/>
  <c r="AG56" i="2" s="1"/>
  <c r="AH56" i="2" s="1" a="1"/>
  <c r="AH56" i="2" s="1"/>
  <c r="AI56" i="2" s="1" a="1"/>
  <c r="AI56" i="2" s="1"/>
  <c r="W56" i="2" a="1"/>
  <c r="W56" i="2" s="1"/>
  <c r="S56" i="2" a="1"/>
  <c r="S56" i="2" s="1"/>
  <c r="AG53" i="2" a="1"/>
  <c r="AG53" i="2" s="1"/>
  <c r="AH53" i="2" s="1" a="1"/>
  <c r="AH53" i="2" s="1"/>
  <c r="AI53" i="2" s="1" a="1"/>
  <c r="AI53" i="2" s="1"/>
  <c r="W53" i="2" a="1"/>
  <c r="W53" i="2" s="1"/>
  <c r="S53" i="2" a="1"/>
  <c r="S53" i="2" s="1"/>
  <c r="AG50" i="2" a="1"/>
  <c r="AG50" i="2" s="1"/>
  <c r="AH50" i="2" s="1" a="1"/>
  <c r="AH50" i="2" s="1"/>
  <c r="AI50" i="2" s="1" a="1"/>
  <c r="AI50" i="2" s="1"/>
  <c r="W50" i="2" a="1"/>
  <c r="W50" i="2" s="1"/>
  <c r="S50" i="2" a="1"/>
  <c r="S50" i="2" s="1"/>
  <c r="AG47" i="2" a="1"/>
  <c r="AG47" i="2" s="1"/>
  <c r="AH47" i="2" s="1" a="1"/>
  <c r="AH47" i="2" s="1"/>
  <c r="AI47" i="2" s="1" a="1"/>
  <c r="AI47" i="2" s="1"/>
  <c r="W47" i="2" a="1"/>
  <c r="W47" i="2" s="1"/>
  <c r="S47" i="2" a="1"/>
  <c r="S47" i="2" s="1"/>
  <c r="AG44" i="2" a="1"/>
  <c r="AG44" i="2" s="1"/>
  <c r="AH44" i="2" s="1" a="1"/>
  <c r="AH44" i="2" s="1"/>
  <c r="AI44" i="2" s="1" a="1"/>
  <c r="AI44" i="2" s="1"/>
  <c r="W44" i="2" a="1"/>
  <c r="W44" i="2" s="1"/>
  <c r="S44" i="2" a="1"/>
  <c r="S44" i="2" s="1"/>
  <c r="AG41" i="2" a="1"/>
  <c r="AG41" i="2" s="1"/>
  <c r="AH41" i="2" s="1" a="1"/>
  <c r="AH41" i="2" s="1"/>
  <c r="AI41" i="2" s="1" a="1"/>
  <c r="AI41" i="2" s="1"/>
  <c r="W41" i="2" a="1"/>
  <c r="W41" i="2" s="1"/>
  <c r="S41" i="2" a="1"/>
  <c r="S41" i="2" s="1"/>
  <c r="AG38" i="2" a="1"/>
  <c r="AG38" i="2" s="1"/>
  <c r="AH38" i="2" s="1" a="1"/>
  <c r="AH38" i="2" s="1"/>
  <c r="AI38" i="2" s="1" a="1"/>
  <c r="AI38" i="2" s="1"/>
  <c r="W38" i="2" a="1"/>
  <c r="W38" i="2" s="1"/>
  <c r="S38" i="2" a="1"/>
  <c r="S38" i="2" s="1"/>
  <c r="AG35" i="2" a="1"/>
  <c r="AG35" i="2" s="1"/>
  <c r="AH35" i="2" s="1" a="1"/>
  <c r="AH35" i="2" s="1"/>
  <c r="AI35" i="2" s="1" a="1"/>
  <c r="AI35" i="2" s="1"/>
  <c r="W35" i="2" a="1"/>
  <c r="W35" i="2" s="1"/>
  <c r="S35" i="2" a="1"/>
  <c r="S35" i="2" s="1"/>
  <c r="AG32" i="2" a="1"/>
  <c r="AG32" i="2" s="1"/>
  <c r="AH32" i="2" s="1" a="1"/>
  <c r="AH32" i="2" s="1"/>
  <c r="AI32" i="2" s="1" a="1"/>
  <c r="AI32" i="2" s="1"/>
  <c r="W32" i="2" a="1"/>
  <c r="W32" i="2" s="1"/>
  <c r="S32" i="2" a="1"/>
  <c r="S32" i="2" s="1"/>
  <c r="AG29" i="2" a="1"/>
  <c r="AG29" i="2" s="1"/>
  <c r="AH29" i="2" s="1" a="1"/>
  <c r="AH29" i="2" s="1"/>
  <c r="AI29" i="2" s="1" a="1"/>
  <c r="AI29" i="2" s="1"/>
  <c r="W29" i="2" a="1"/>
  <c r="W29" i="2" s="1"/>
  <c r="S29" i="2" a="1"/>
  <c r="S29" i="2" s="1"/>
  <c r="AG26" i="2" a="1"/>
  <c r="AG26" i="2" s="1"/>
  <c r="AH26" i="2" s="1" a="1"/>
  <c r="AH26" i="2" s="1"/>
  <c r="AI26" i="2" s="1" a="1"/>
  <c r="AI26" i="2" s="1"/>
  <c r="W26" i="2" a="1"/>
  <c r="W26" i="2" s="1"/>
  <c r="S26" i="2" a="1"/>
  <c r="S26" i="2" s="1"/>
  <c r="AG23" i="2" a="1"/>
  <c r="AG23" i="2" s="1"/>
  <c r="AH23" i="2" s="1" a="1"/>
  <c r="AH23" i="2" s="1"/>
  <c r="AI23" i="2" s="1" a="1"/>
  <c r="AI23" i="2" s="1"/>
  <c r="W23" i="2" a="1"/>
  <c r="W23" i="2" s="1"/>
  <c r="S23" i="2" a="1"/>
  <c r="S23" i="2" s="1"/>
  <c r="AG20" i="2" a="1"/>
  <c r="AG20" i="2" s="1"/>
  <c r="AH20" i="2" s="1" a="1"/>
  <c r="AH20" i="2" s="1"/>
  <c r="AI20" i="2" s="1" a="1"/>
  <c r="AI20" i="2" s="1"/>
  <c r="W20" i="2" a="1"/>
  <c r="W20" i="2" s="1"/>
  <c r="S20" i="2" a="1"/>
  <c r="S20" i="2" s="1"/>
  <c r="AG19" i="2" a="1"/>
  <c r="AG19" i="2" s="1"/>
  <c r="AH19" i="2" s="1" a="1"/>
  <c r="AH19" i="2" s="1"/>
  <c r="AI19" i="2" s="1" a="1"/>
  <c r="AI19" i="2" s="1"/>
  <c r="N19" i="2" a="1"/>
  <c r="N19" i="2" s="1"/>
  <c r="AG17" i="2" a="1"/>
  <c r="AG17" i="2" s="1"/>
  <c r="AH17" i="2" s="1" a="1"/>
  <c r="AH17" i="2" s="1"/>
  <c r="AI17" i="2" s="1" a="1"/>
  <c r="AI17" i="2" s="1"/>
  <c r="N17" i="2" a="1"/>
  <c r="N17" i="2" s="1"/>
  <c r="AG18" i="2" a="1"/>
  <c r="AG18" i="2" s="1"/>
  <c r="AH18" i="2" s="1" a="1"/>
  <c r="AH18" i="2" s="1"/>
  <c r="AI18" i="2" s="1" a="1"/>
  <c r="AI18" i="2" s="1"/>
  <c r="N18" i="2" a="1"/>
  <c r="N18" i="2" s="1"/>
  <c r="AG16" i="2" a="1"/>
  <c r="AG16" i="2" s="1"/>
  <c r="AH16" i="2" s="1" a="1"/>
  <c r="AH16" i="2" s="1"/>
  <c r="AI16" i="2" s="1" a="1"/>
  <c r="AI16" i="2" s="1"/>
  <c r="N16" i="2" a="1"/>
  <c r="N16" i="2" s="1"/>
  <c r="A17" i="2" l="1" a="1"/>
  <c r="A17" i="2" s="1"/>
  <c r="A18" i="2" s="1" a="1"/>
  <c r="A18" i="2" s="1"/>
  <c r="A19" i="2" s="1" a="1"/>
  <c r="A19" i="2" s="1"/>
  <c r="A20" i="2" s="1" a="1"/>
  <c r="A20" i="2" s="1"/>
  <c r="A21" i="2" s="1" a="1"/>
  <c r="A21" i="2" s="1"/>
  <c r="A22" i="2" s="1" a="1"/>
  <c r="A22" i="2" s="1"/>
  <c r="A23" i="2" s="1" a="1"/>
  <c r="A23" i="2" s="1"/>
  <c r="A24" i="2" s="1" a="1"/>
  <c r="A24" i="2" s="1"/>
  <c r="A25" i="2" s="1" a="1"/>
  <c r="A25" i="2" s="1"/>
  <c r="A26" i="2" s="1" a="1"/>
  <c r="A26" i="2" s="1"/>
  <c r="A27" i="2" s="1" a="1"/>
  <c r="A27" i="2" s="1"/>
  <c r="A28" i="2" s="1" a="1"/>
  <c r="A28" i="2" s="1"/>
  <c r="A29" i="2" s="1" a="1"/>
  <c r="A29" i="2" s="1"/>
  <c r="A30" i="2" s="1" a="1"/>
  <c r="A30" i="2" s="1"/>
  <c r="A31" i="2" s="1" a="1"/>
  <c r="A31" i="2" s="1"/>
  <c r="A32" i="2" s="1" a="1"/>
  <c r="A32" i="2" s="1"/>
  <c r="A33" i="2" s="1" a="1"/>
  <c r="A33" i="2" s="1"/>
  <c r="A34" i="2" s="1" a="1"/>
  <c r="A34" i="2" s="1"/>
  <c r="A35" i="2" s="1" a="1"/>
  <c r="A35" i="2" s="1"/>
  <c r="A36" i="2" s="1" a="1"/>
  <c r="A36" i="2" s="1"/>
  <c r="A37" i="2" s="1" a="1"/>
  <c r="A37" i="2" s="1"/>
  <c r="A38" i="2" s="1" a="1"/>
  <c r="A38" i="2" s="1"/>
  <c r="A39" i="2" s="1" a="1"/>
  <c r="A39" i="2" s="1"/>
  <c r="A40" i="2" s="1" a="1"/>
  <c r="A40" i="2" s="1"/>
  <c r="A41" i="2" s="1" a="1"/>
  <c r="A41" i="2" s="1"/>
  <c r="A42" i="2" s="1" a="1"/>
  <c r="A42" i="2" s="1"/>
  <c r="A43" i="2" s="1" a="1"/>
  <c r="A43" i="2" s="1"/>
  <c r="A44" i="2" s="1" a="1"/>
  <c r="A44" i="2" s="1"/>
  <c r="A45" i="2" s="1" a="1"/>
  <c r="A45" i="2" s="1"/>
  <c r="A46" i="2" s="1" a="1"/>
  <c r="A46" i="2" s="1"/>
  <c r="A47" i="2" s="1" a="1"/>
  <c r="A47" i="2" s="1"/>
  <c r="A48" i="2" s="1" a="1"/>
  <c r="A48" i="2" s="1"/>
  <c r="A49" i="2" s="1" a="1"/>
  <c r="A49" i="2" s="1"/>
  <c r="A50" i="2" s="1" a="1"/>
  <c r="A50" i="2" s="1"/>
  <c r="A51" i="2" s="1" a="1"/>
  <c r="A51" i="2" s="1"/>
  <c r="A52" i="2" s="1" a="1"/>
  <c r="A52" i="2" s="1"/>
  <c r="A53" i="2" s="1" a="1"/>
  <c r="A53" i="2" s="1"/>
  <c r="A54" i="2" s="1" a="1"/>
  <c r="A54" i="2" s="1"/>
  <c r="A55" i="2" s="1" a="1"/>
  <c r="A55" i="2" s="1"/>
  <c r="A56" i="2" s="1" a="1"/>
  <c r="A56" i="2" s="1"/>
  <c r="A57" i="2" s="1" a="1"/>
  <c r="A57" i="2" s="1"/>
  <c r="A58" i="2" s="1" a="1"/>
  <c r="A58" i="2" s="1"/>
  <c r="A59" i="2" s="1" a="1"/>
  <c r="A59" i="2" s="1"/>
  <c r="A60" i="2" s="1" a="1"/>
  <c r="A60" i="2" s="1"/>
  <c r="A61" i="2" s="1" a="1"/>
  <c r="A61" i="2" s="1"/>
  <c r="A62" i="2" s="1" a="1"/>
  <c r="A62" i="2" s="1"/>
  <c r="A63" i="2" s="1" a="1"/>
  <c r="A63" i="2" s="1"/>
  <c r="A64" i="2" s="1" a="1"/>
  <c r="A64" i="2" s="1"/>
  <c r="A65" i="2" s="1" a="1"/>
  <c r="A65" i="2" s="1"/>
  <c r="A66" i="2" s="1" a="1"/>
  <c r="A66" i="2" s="1"/>
  <c r="A67" i="2" s="1" a="1"/>
  <c r="A67" i="2" s="1"/>
  <c r="A68" i="2" s="1" a="1"/>
  <c r="A68" i="2" s="1"/>
  <c r="A69" i="2" s="1" a="1"/>
  <c r="A69" i="2" s="1"/>
  <c r="A70" i="2" s="1" a="1"/>
  <c r="A70" i="2" s="1"/>
  <c r="A71" i="2" s="1" a="1"/>
  <c r="A71" i="2" s="1"/>
  <c r="A72" i="2" s="1" a="1"/>
  <c r="A72" i="2" s="1"/>
  <c r="A73" i="2" s="1" a="1"/>
  <c r="A73" i="2" s="1"/>
  <c r="A74" i="2" s="1" a="1"/>
  <c r="A74" i="2" s="1"/>
  <c r="A75" i="2" s="1" a="1"/>
  <c r="A75" i="2" s="1"/>
  <c r="A76" i="2" s="1" a="1"/>
  <c r="A76" i="2" s="1"/>
  <c r="A77" i="2" s="1" a="1"/>
  <c r="A77" i="2" s="1"/>
  <c r="A78" i="2" s="1" a="1"/>
  <c r="A78" i="2" s="1"/>
  <c r="A79" i="2" s="1" a="1"/>
  <c r="A79" i="2" s="1"/>
  <c r="A80" i="2" s="1" a="1"/>
  <c r="A80" i="2" s="1"/>
  <c r="A81" i="2" s="1" a="1"/>
  <c r="A81" i="2" s="1"/>
  <c r="A82" i="2" s="1" a="1"/>
  <c r="A82" i="2" s="1"/>
  <c r="A83" i="2" s="1" a="1"/>
  <c r="A83" i="2" s="1"/>
  <c r="A84" i="2" s="1" a="1"/>
  <c r="A84" i="2" s="1"/>
  <c r="A85" i="2" s="1" a="1"/>
  <c r="A85" i="2" s="1"/>
  <c r="A86" i="2" s="1" a="1"/>
  <c r="A86" i="2" s="1"/>
  <c r="A87" i="2" s="1" a="1"/>
  <c r="A87" i="2" s="1"/>
  <c r="A88" i="2" s="1" a="1"/>
  <c r="A88" i="2" s="1"/>
  <c r="A89" i="2" s="1" a="1"/>
  <c r="A89" i="2" s="1"/>
  <c r="A90" i="2" s="1" a="1"/>
  <c r="A90" i="2" s="1"/>
  <c r="A91" i="2" s="1" a="1"/>
  <c r="A91" i="2" s="1"/>
  <c r="A92" i="2" s="1" a="1"/>
  <c r="A92" i="2" s="1"/>
  <c r="A93" i="2" s="1" a="1"/>
  <c r="A93" i="2" s="1"/>
  <c r="A94" i="2" s="1" a="1"/>
  <c r="A94" i="2" s="1"/>
  <c r="A95" i="2" s="1" a="1"/>
  <c r="A95" i="2" s="1"/>
  <c r="A96" i="2" s="1" a="1"/>
  <c r="A96" i="2" s="1"/>
  <c r="A97" i="2" s="1" a="1"/>
  <c r="A97" i="2" s="1"/>
  <c r="A98" i="2" s="1" a="1"/>
  <c r="A98" i="2" s="1"/>
  <c r="A99" i="2" s="1" a="1"/>
  <c r="A99" i="2" s="1"/>
  <c r="A100" i="2" s="1" a="1"/>
  <c r="A100" i="2" s="1"/>
  <c r="A101" i="2" s="1" a="1"/>
  <c r="A101" i="2" s="1"/>
  <c r="A102" i="2" s="1" a="1"/>
  <c r="A102" i="2" s="1"/>
  <c r="A103" i="2" s="1" a="1"/>
  <c r="A103" i="2" s="1"/>
  <c r="A104" i="2" s="1" a="1"/>
  <c r="A104" i="2" s="1"/>
  <c r="A105" i="2" s="1" a="1"/>
  <c r="A105" i="2" s="1"/>
  <c r="A106" i="2" s="1" a="1"/>
  <c r="A106" i="2" s="1"/>
  <c r="A107" i="2" s="1" a="1"/>
  <c r="A107" i="2" s="1"/>
  <c r="A108" i="2" s="1" a="1"/>
  <c r="A108" i="2" s="1"/>
  <c r="A109" i="2" s="1" a="1"/>
  <c r="A109" i="2" s="1"/>
  <c r="A110" i="2" s="1" a="1"/>
  <c r="A110" i="2" s="1"/>
  <c r="A111" i="2" s="1" a="1"/>
  <c r="A111" i="2" s="1"/>
  <c r="A112" i="2" s="1" a="1"/>
  <c r="A112" i="2" s="1"/>
  <c r="A113" i="2" s="1" a="1"/>
  <c r="A113" i="2" s="1"/>
  <c r="A114" i="2" s="1" a="1"/>
  <c r="A114" i="2" s="1"/>
  <c r="A115" i="2" s="1" a="1"/>
  <c r="A115" i="2" s="1"/>
  <c r="A116" i="2" s="1" a="1"/>
  <c r="A116" i="2" s="1"/>
  <c r="A117" i="2" s="1" a="1"/>
  <c r="A117" i="2" s="1"/>
  <c r="A118" i="2" s="1" a="1"/>
  <c r="A118" i="2" s="1"/>
  <c r="A119" i="2" s="1" a="1"/>
  <c r="A119" i="2" s="1"/>
  <c r="A120" i="2" s="1" a="1"/>
  <c r="A120" i="2" s="1"/>
  <c r="A121" i="2" s="1" a="1"/>
  <c r="A121" i="2" s="1"/>
  <c r="A122" i="2" s="1" a="1"/>
  <c r="A122" i="2" s="1"/>
  <c r="A123" i="2" s="1" a="1"/>
  <c r="A123" i="2" s="1"/>
  <c r="A124" i="2" s="1" a="1"/>
  <c r="A124" i="2" s="1"/>
  <c r="A125" i="2" s="1" a="1"/>
  <c r="A125" i="2" s="1"/>
  <c r="A126" i="2" s="1" a="1"/>
  <c r="A126" i="2" s="1"/>
  <c r="A127" i="2" s="1" a="1"/>
  <c r="A127" i="2" s="1"/>
  <c r="A128" i="2" s="1" a="1"/>
  <c r="A128" i="2" s="1"/>
  <c r="A129" i="2" s="1" a="1"/>
  <c r="A129" i="2" s="1"/>
  <c r="A130" i="2" s="1" a="1"/>
  <c r="A130" i="2" s="1"/>
  <c r="A131" i="2" s="1" a="1"/>
  <c r="A131" i="2" s="1"/>
  <c r="A132" i="2" s="1" a="1"/>
  <c r="A132" i="2" s="1"/>
  <c r="A133" i="2" s="1" a="1"/>
  <c r="A133" i="2" s="1"/>
  <c r="A134" i="2" s="1" a="1"/>
  <c r="A134" i="2" s="1"/>
  <c r="A135" i="2" s="1" a="1"/>
  <c r="A135" i="2" s="1"/>
  <c r="A136" i="2" s="1" a="1"/>
  <c r="A136" i="2" s="1"/>
  <c r="A137" i="2" s="1" a="1"/>
  <c r="A137" i="2" s="1"/>
  <c r="A138" i="2" s="1" a="1"/>
  <c r="A138" i="2" s="1"/>
  <c r="A139" i="2" s="1" a="1"/>
  <c r="A139" i="2" s="1"/>
  <c r="A140" i="2" s="1" a="1"/>
  <c r="A140" i="2" s="1"/>
  <c r="A141" i="2" s="1" a="1"/>
  <c r="A141" i="2" s="1"/>
  <c r="A142" i="2" s="1" a="1"/>
  <c r="A142" i="2" s="1"/>
  <c r="A143" i="2" s="1" a="1"/>
  <c r="A143" i="2" s="1"/>
  <c r="A144" i="2" s="1" a="1"/>
  <c r="A144" i="2" s="1"/>
  <c r="A145" i="2" s="1" a="1"/>
  <c r="A145" i="2" s="1"/>
  <c r="A146" i="2" s="1" a="1"/>
  <c r="A146" i="2" s="1"/>
  <c r="A147" i="2" s="1" a="1"/>
  <c r="A147" i="2" s="1"/>
  <c r="A148" i="2" s="1" a="1"/>
  <c r="A148" i="2" s="1"/>
  <c r="A149" i="2" s="1" a="1"/>
  <c r="A149" i="2" s="1"/>
  <c r="A150" i="2" s="1" a="1"/>
  <c r="A150" i="2" s="1"/>
  <c r="A151" i="2" s="1" a="1"/>
  <c r="A151" i="2" s="1"/>
  <c r="A152" i="2" s="1" a="1"/>
  <c r="A152" i="2" s="1"/>
  <c r="A153" i="2" s="1" a="1"/>
  <c r="A153" i="2" s="1"/>
  <c r="A154" i="2" s="1" a="1"/>
  <c r="A154" i="2" s="1"/>
  <c r="A155" i="2" s="1" a="1"/>
  <c r="A155" i="2" s="1"/>
  <c r="A156" i="2" s="1" a="1"/>
  <c r="A156" i="2" s="1"/>
  <c r="A157" i="2" s="1" a="1"/>
  <c r="A157" i="2" s="1"/>
  <c r="A158" i="2" s="1" a="1"/>
  <c r="A158" i="2" s="1"/>
  <c r="A159" i="2" s="1" a="1"/>
  <c r="A159" i="2" s="1"/>
  <c r="A160" i="2" s="1" a="1"/>
  <c r="A160" i="2" s="1"/>
  <c r="A161" i="2" s="1" a="1"/>
  <c r="A161" i="2" s="1"/>
  <c r="A162" i="2" s="1" a="1"/>
  <c r="A162" i="2" s="1"/>
  <c r="A163" i="2" s="1" a="1"/>
  <c r="A163" i="2" s="1"/>
  <c r="A164" i="2" s="1" a="1"/>
  <c r="A164" i="2" s="1"/>
  <c r="A165" i="2" s="1" a="1"/>
  <c r="A165" i="2" s="1"/>
  <c r="A166" i="2" s="1" a="1"/>
  <c r="A166" i="2" s="1"/>
  <c r="A167" i="2" s="1" a="1"/>
  <c r="A167" i="2" s="1"/>
  <c r="A168" i="2" s="1" a="1"/>
  <c r="A168" i="2" s="1"/>
  <c r="A169" i="2" s="1" a="1"/>
  <c r="A169" i="2" s="1"/>
  <c r="A170" i="2" s="1" a="1"/>
  <c r="A170" i="2" s="1"/>
  <c r="A171" i="2" s="1" a="1"/>
  <c r="A171" i="2" s="1"/>
  <c r="A172" i="2" s="1" a="1"/>
  <c r="A172" i="2" s="1"/>
  <c r="A173" i="2" s="1" a="1"/>
  <c r="A173" i="2" s="1"/>
  <c r="A174" i="2" s="1" a="1"/>
  <c r="A174" i="2" s="1"/>
  <c r="A175" i="2" s="1" a="1"/>
  <c r="A175" i="2" s="1"/>
  <c r="A176" i="2" s="1" a="1"/>
  <c r="A176" i="2" s="1"/>
  <c r="A177" i="2" s="1" a="1"/>
  <c r="A177" i="2" s="1"/>
  <c r="A178" i="2" s="1" a="1"/>
  <c r="A178" i="2" s="1"/>
  <c r="A179" i="2" s="1" a="1"/>
  <c r="A179" i="2" s="1"/>
  <c r="A180" i="2" s="1" a="1"/>
  <c r="A180" i="2" s="1"/>
  <c r="A181" i="2" s="1" a="1"/>
  <c r="A181" i="2" s="1"/>
  <c r="A182" i="2" s="1" a="1"/>
  <c r="A182" i="2" s="1"/>
  <c r="A183" i="2" s="1" a="1"/>
  <c r="A183" i="2" s="1"/>
  <c r="A184" i="2" s="1" a="1"/>
  <c r="A184" i="2" s="1"/>
  <c r="A185" i="2" s="1" a="1"/>
  <c r="A185" i="2" s="1"/>
  <c r="A186" i="2" s="1" a="1"/>
  <c r="A186" i="2" s="1"/>
  <c r="A187" i="2" s="1" a="1"/>
  <c r="A187" i="2" s="1"/>
  <c r="A188" i="2" s="1" a="1"/>
  <c r="A188" i="2" s="1"/>
  <c r="A189" i="2" s="1" a="1"/>
  <c r="A189" i="2" s="1"/>
  <c r="A190" i="2" s="1" a="1"/>
  <c r="A190" i="2" s="1"/>
  <c r="A191" i="2" s="1" a="1"/>
  <c r="A191" i="2" s="1"/>
  <c r="A192" i="2" s="1" a="1"/>
  <c r="A192" i="2" s="1"/>
  <c r="A193" i="2" s="1" a="1"/>
  <c r="A193" i="2" s="1"/>
  <c r="A194" i="2" s="1" a="1"/>
  <c r="A194" i="2" s="1"/>
  <c r="A195" i="2" s="1" a="1"/>
  <c r="A195" i="2" s="1"/>
  <c r="A196" i="2" s="1" a="1"/>
  <c r="A196" i="2" s="1"/>
  <c r="A197" i="2" s="1" a="1"/>
  <c r="A197" i="2" s="1"/>
  <c r="A198" i="2" s="1" a="1"/>
  <c r="A198" i="2" s="1"/>
  <c r="A199" i="2" s="1" a="1"/>
  <c r="A199" i="2" s="1"/>
  <c r="A200" i="2" s="1" a="1"/>
  <c r="A200" i="2" s="1"/>
  <c r="A201" i="2" s="1" a="1"/>
  <c r="A201" i="2" s="1"/>
  <c r="A202" i="2" s="1" a="1"/>
  <c r="A202" i="2" s="1"/>
  <c r="A203" i="2" s="1" a="1"/>
  <c r="A203" i="2" s="1"/>
  <c r="A204" i="2" s="1" a="1"/>
  <c r="A204" i="2" s="1"/>
  <c r="A205" i="2" s="1" a="1"/>
  <c r="A205" i="2" s="1"/>
  <c r="A206" i="2" s="1" a="1"/>
  <c r="A206" i="2" s="1"/>
  <c r="A207" i="2" s="1" a="1"/>
  <c r="A207" i="2" s="1"/>
  <c r="A208" i="2" s="1" a="1"/>
  <c r="A208" i="2" s="1"/>
  <c r="A209" i="2" s="1" a="1"/>
  <c r="A209" i="2" s="1"/>
  <c r="A210" i="2" s="1" a="1"/>
  <c r="A210" i="2" s="1"/>
  <c r="A211" i="2" s="1" a="1"/>
  <c r="A211" i="2" s="1"/>
  <c r="A212" i="2" s="1" a="1"/>
  <c r="A212" i="2" s="1"/>
  <c r="A213" i="2" s="1" a="1"/>
  <c r="A213" i="2" s="1"/>
  <c r="A214" i="2" s="1" a="1"/>
  <c r="A214" i="2" s="1"/>
  <c r="A215" i="2" s="1" a="1"/>
  <c r="A215" i="2" s="1"/>
  <c r="A216" i="2" s="1" a="1"/>
  <c r="A216" i="2" s="1"/>
  <c r="A217" i="2" s="1" a="1"/>
  <c r="A217" i="2" s="1"/>
  <c r="A218" i="2" s="1" a="1"/>
  <c r="A218" i="2" s="1"/>
  <c r="A219" i="2" s="1" a="1"/>
  <c r="A219" i="2" s="1"/>
  <c r="A220" i="2" s="1" a="1"/>
  <c r="A220" i="2" s="1"/>
  <c r="A221" i="2" s="1" a="1"/>
  <c r="A221" i="2" s="1"/>
  <c r="A222" i="2" s="1" a="1"/>
  <c r="A222" i="2" s="1"/>
  <c r="A223" i="2" s="1" a="1"/>
  <c r="A223" i="2" s="1"/>
  <c r="A224" i="2" s="1" a="1"/>
  <c r="A224" i="2" s="1"/>
  <c r="A225" i="2" s="1" a="1"/>
  <c r="A225" i="2" s="1"/>
  <c r="A226" i="2" s="1" a="1"/>
  <c r="A226" i="2" s="1"/>
  <c r="A227" i="2" s="1" a="1"/>
  <c r="A227" i="2" s="1"/>
  <c r="A228" i="2" s="1" a="1"/>
  <c r="A228" i="2" s="1"/>
  <c r="A229" i="2" s="1" a="1"/>
  <c r="A229" i="2" s="1"/>
  <c r="A230" i="2" s="1" a="1"/>
  <c r="A230" i="2" s="1"/>
  <c r="A231" i="2" s="1" a="1"/>
  <c r="A231" i="2" s="1"/>
  <c r="A232" i="2" s="1" a="1"/>
  <c r="A232" i="2" s="1"/>
  <c r="A233" i="2" s="1" a="1"/>
  <c r="A233" i="2" s="1"/>
  <c r="A234" i="2" s="1" a="1"/>
  <c r="A234" i="2" s="1"/>
  <c r="A235" i="2" s="1" a="1"/>
  <c r="A235" i="2" s="1"/>
  <c r="A236" i="2" s="1" a="1"/>
  <c r="A236" i="2" s="1"/>
  <c r="A237" i="2" s="1" a="1"/>
  <c r="A237" i="2" s="1"/>
  <c r="A238" i="2" s="1" a="1"/>
  <c r="A238" i="2" s="1"/>
  <c r="A239" i="2" s="1" a="1"/>
  <c r="A239" i="2" s="1"/>
  <c r="A240" i="2" s="1" a="1"/>
  <c r="A240" i="2" s="1"/>
  <c r="A241" i="2" s="1" a="1"/>
  <c r="A241" i="2" s="1"/>
  <c r="A242" i="2" s="1" a="1"/>
  <c r="A242" i="2" s="1"/>
  <c r="A243" i="2" s="1" a="1"/>
  <c r="A243" i="2" s="1"/>
  <c r="A244" i="2" s="1" a="1"/>
  <c r="A244" i="2" s="1"/>
  <c r="A245" i="2" s="1" a="1"/>
  <c r="A245" i="2" s="1"/>
  <c r="A246" i="2" s="1" a="1"/>
  <c r="A246" i="2" s="1"/>
  <c r="A247" i="2" s="1" a="1"/>
  <c r="A247" i="2" s="1"/>
  <c r="A248" i="2" s="1" a="1"/>
  <c r="A248" i="2" s="1"/>
  <c r="A249" i="2" s="1" a="1"/>
  <c r="A249" i="2" s="1"/>
  <c r="A250" i="2" s="1" a="1"/>
  <c r="A250" i="2" s="1"/>
  <c r="A251" i="2" s="1" a="1"/>
  <c r="A251" i="2" s="1"/>
  <c r="A252" i="2" s="1" a="1"/>
  <c r="A252" i="2" s="1"/>
  <c r="A253" i="2" s="1" a="1"/>
  <c r="A253" i="2" s="1"/>
  <c r="A254" i="2" s="1" a="1"/>
  <c r="A254" i="2" s="1"/>
  <c r="A255" i="2" s="1" a="1"/>
  <c r="A255" i="2" s="1"/>
  <c r="A256" i="2" s="1" a="1"/>
  <c r="A256" i="2" s="1"/>
  <c r="A257" i="2" s="1" a="1"/>
  <c r="A257" i="2" s="1"/>
  <c r="A258" i="2" s="1" a="1"/>
  <c r="A258" i="2" s="1"/>
  <c r="A259" i="2" s="1" a="1"/>
  <c r="A259" i="2" s="1"/>
  <c r="A260" i="2" s="1" a="1"/>
  <c r="A260" i="2" s="1"/>
  <c r="A261" i="2" s="1" a="1"/>
  <c r="A261" i="2" s="1"/>
  <c r="A262" i="2" s="1" a="1"/>
  <c r="A262" i="2" s="1"/>
  <c r="A263" i="2" s="1" a="1"/>
  <c r="A263" i="2" s="1"/>
  <c r="A264" i="2" s="1" a="1"/>
  <c r="A264" i="2" s="1"/>
  <c r="A265" i="2" s="1" a="1"/>
  <c r="A265" i="2" s="1"/>
  <c r="A266" i="2" s="1" a="1"/>
  <c r="A266" i="2" s="1"/>
  <c r="A267" i="2" s="1" a="1"/>
  <c r="A267" i="2" s="1"/>
  <c r="A268" i="2" s="1" a="1"/>
  <c r="A268" i="2" s="1"/>
  <c r="A269" i="2" s="1" a="1"/>
  <c r="A269" i="2" s="1"/>
  <c r="A270" i="2" s="1" a="1"/>
  <c r="A270" i="2" s="1"/>
  <c r="A271" i="2" s="1" a="1"/>
  <c r="A271" i="2" s="1"/>
  <c r="A272" i="2" s="1" a="1"/>
  <c r="A272" i="2" s="1"/>
  <c r="A273" i="2" s="1" a="1"/>
  <c r="A273" i="2" s="1"/>
  <c r="A274" i="2" s="1" a="1"/>
  <c r="A274" i="2" s="1"/>
  <c r="A275" i="2" s="1" a="1"/>
  <c r="A275" i="2" s="1"/>
  <c r="A276" i="2" s="1" a="1"/>
  <c r="A276" i="2" s="1"/>
  <c r="A277" i="2" s="1" a="1"/>
  <c r="A277" i="2" s="1"/>
  <c r="A278" i="2" s="1" a="1"/>
  <c r="A278" i="2" s="1"/>
  <c r="A279" i="2" s="1" a="1"/>
  <c r="A279" i="2" s="1"/>
  <c r="A280" i="2" s="1" a="1"/>
  <c r="A280" i="2" s="1"/>
  <c r="A281" i="2" s="1" a="1"/>
  <c r="A281" i="2" s="1"/>
  <c r="A282" i="2" s="1" a="1"/>
  <c r="A282" i="2" s="1"/>
  <c r="A283" i="2" s="1" a="1"/>
  <c r="A283" i="2" s="1"/>
  <c r="A284" i="2" s="1" a="1"/>
  <c r="A284" i="2" s="1"/>
  <c r="A285" i="2" s="1" a="1"/>
  <c r="A285" i="2" s="1"/>
  <c r="A286" i="2" s="1" a="1"/>
  <c r="A286" i="2" s="1"/>
  <c r="A287" i="2" s="1" a="1"/>
  <c r="A287" i="2" s="1"/>
  <c r="A288" i="2" s="1" a="1"/>
  <c r="A288" i="2" s="1"/>
  <c r="A289" i="2" s="1" a="1"/>
  <c r="A289" i="2" s="1"/>
  <c r="A290" i="2" s="1" a="1"/>
  <c r="A290" i="2" s="1"/>
  <c r="A291" i="2" s="1" a="1"/>
  <c r="A291" i="2" s="1"/>
  <c r="A292" i="2" s="1" a="1"/>
  <c r="A292" i="2" s="1"/>
  <c r="A293" i="2" s="1" a="1"/>
  <c r="A293" i="2" s="1"/>
  <c r="A294" i="2" s="1" a="1"/>
  <c r="A294" i="2" s="1"/>
  <c r="A295" i="2" s="1" a="1"/>
  <c r="A295" i="2" s="1"/>
  <c r="A296" i="2" s="1" a="1"/>
  <c r="A296" i="2" s="1"/>
  <c r="A297" i="2" s="1" a="1"/>
  <c r="A297" i="2" s="1"/>
  <c r="A298" i="2" s="1" a="1"/>
  <c r="A298" i="2" s="1"/>
  <c r="A299" i="2" s="1" a="1"/>
  <c r="A299" i="2" s="1"/>
  <c r="A300" i="2" s="1" a="1"/>
  <c r="A300" i="2" s="1"/>
  <c r="A301" i="2" s="1" a="1"/>
  <c r="A301" i="2" s="1"/>
  <c r="A302" i="2" s="1" a="1"/>
  <c r="A302" i="2" s="1"/>
  <c r="A303" i="2" s="1" a="1"/>
  <c r="A303" i="2" s="1"/>
  <c r="A304" i="2" s="1" a="1"/>
  <c r="A304" i="2" s="1"/>
  <c r="A305" i="2" s="1" a="1"/>
  <c r="A305" i="2" s="1"/>
  <c r="A306" i="2" s="1" a="1"/>
  <c r="A306" i="2" s="1"/>
  <c r="A307" i="2" s="1" a="1"/>
  <c r="A307" i="2" s="1"/>
  <c r="A308" i="2" s="1" a="1"/>
  <c r="A308" i="2" s="1"/>
  <c r="A309" i="2" s="1" a="1"/>
  <c r="A309" i="2" s="1"/>
  <c r="A310" i="2" s="1" a="1"/>
  <c r="A310" i="2" s="1"/>
  <c r="A311" i="2" s="1" a="1"/>
  <c r="A311" i="2" s="1"/>
  <c r="A312" i="2" s="1" a="1"/>
  <c r="A312" i="2" s="1"/>
  <c r="A313" i="2" s="1" a="1"/>
  <c r="A313" i="2" s="1"/>
  <c r="A314" i="2" s="1" a="1"/>
  <c r="A314" i="2" s="1"/>
  <c r="A315" i="2" s="1" a="1"/>
  <c r="A315" i="2" s="1"/>
  <c r="A316" i="2" s="1" a="1"/>
  <c r="A316" i="2" s="1"/>
  <c r="A317" i="2" s="1" a="1"/>
  <c r="A317" i="2" s="1"/>
  <c r="A318" i="2" s="1" a="1"/>
  <c r="A318" i="2" s="1"/>
  <c r="A319" i="2" s="1" a="1"/>
  <c r="A319" i="2" s="1"/>
  <c r="A320" i="2" s="1" a="1"/>
  <c r="A320" i="2" s="1"/>
  <c r="A321" i="2" s="1" a="1"/>
  <c r="A321" i="2" s="1"/>
  <c r="A322" i="2" s="1" a="1"/>
  <c r="A322" i="2" s="1"/>
  <c r="A323" i="2" s="1" a="1"/>
  <c r="A323" i="2" s="1"/>
  <c r="A324" i="2" s="1" a="1"/>
  <c r="A324" i="2" s="1"/>
  <c r="A325" i="2" s="1" a="1"/>
  <c r="A325" i="2" s="1"/>
  <c r="A326" i="2" s="1" a="1"/>
  <c r="A326" i="2" s="1"/>
  <c r="A327" i="2" s="1" a="1"/>
  <c r="A327" i="2" s="1"/>
  <c r="A328" i="2" s="1" a="1"/>
  <c r="A328" i="2" s="1"/>
  <c r="A329" i="2" s="1" a="1"/>
  <c r="A329" i="2" s="1"/>
  <c r="A330" i="2" s="1" a="1"/>
  <c r="A330" i="2" s="1"/>
  <c r="A331" i="2" s="1" a="1"/>
  <c r="A331" i="2" s="1"/>
  <c r="A332" i="2" s="1" a="1"/>
  <c r="A332" i="2" s="1"/>
  <c r="A333" i="2" s="1" a="1"/>
  <c r="A333" i="2" s="1"/>
  <c r="A334" i="2" s="1" a="1"/>
  <c r="A334" i="2" s="1"/>
  <c r="A335" i="2" s="1" a="1"/>
  <c r="A335" i="2" s="1"/>
  <c r="A336" i="2" s="1" a="1"/>
  <c r="A336" i="2" s="1"/>
  <c r="A337" i="2" s="1" a="1"/>
  <c r="A337" i="2" s="1"/>
  <c r="A338" i="2" s="1" a="1"/>
  <c r="A338" i="2" s="1"/>
  <c r="A339" i="2" s="1" a="1"/>
  <c r="A339" i="2" s="1"/>
  <c r="A340" i="2" s="1" a="1"/>
  <c r="A340" i="2" s="1"/>
  <c r="A341" i="2" s="1" a="1"/>
  <c r="A341" i="2" s="1"/>
  <c r="A342" i="2" s="1" a="1"/>
  <c r="A342" i="2" s="1"/>
  <c r="A343" i="2" s="1" a="1"/>
  <c r="A343" i="2" s="1"/>
  <c r="A344" i="2" s="1" a="1"/>
  <c r="A344" i="2" s="1"/>
  <c r="A345" i="2" s="1" a="1"/>
  <c r="A345" i="2" s="1"/>
  <c r="A346" i="2" s="1" a="1"/>
  <c r="A346" i="2" s="1"/>
  <c r="A347" i="2" s="1" a="1"/>
  <c r="A347" i="2" s="1"/>
  <c r="A348" i="2" s="1" a="1"/>
  <c r="A348" i="2" s="1"/>
  <c r="A349" i="2" s="1" a="1"/>
  <c r="A349" i="2" s="1"/>
  <c r="A350" i="2" s="1" a="1"/>
  <c r="A350" i="2" s="1"/>
  <c r="A351" i="2" s="1" a="1"/>
  <c r="A351" i="2" s="1"/>
  <c r="A352" i="2" s="1" a="1"/>
  <c r="A352" i="2" s="1"/>
  <c r="A353" i="2" s="1" a="1"/>
  <c r="A353" i="2" s="1"/>
  <c r="A354" i="2" s="1" a="1"/>
  <c r="A354" i="2" s="1"/>
  <c r="A355" i="2" s="1" a="1"/>
  <c r="A355" i="2" s="1"/>
  <c r="A356" i="2" s="1" a="1"/>
  <c r="A356" i="2" s="1"/>
  <c r="A357" i="2" s="1" a="1"/>
  <c r="A357" i="2" s="1"/>
  <c r="A358" i="2" s="1" a="1"/>
  <c r="A358" i="2" s="1"/>
  <c r="A359" i="2" s="1" a="1"/>
  <c r="A359" i="2" s="1"/>
  <c r="A360" i="2" s="1" a="1"/>
  <c r="A360" i="2" s="1"/>
  <c r="A361" i="2" s="1" a="1"/>
  <c r="A361" i="2" s="1"/>
  <c r="A362" i="2" s="1" a="1"/>
  <c r="A362" i="2" s="1"/>
  <c r="A363" i="2" s="1" a="1"/>
  <c r="A363" i="2" s="1"/>
  <c r="A364" i="2" s="1" a="1"/>
  <c r="A364" i="2" s="1"/>
  <c r="A365" i="2" s="1" a="1"/>
  <c r="A365" i="2" s="1"/>
  <c r="A366" i="2" s="1" a="1"/>
  <c r="A366" i="2" s="1"/>
  <c r="A367" i="2" s="1" a="1"/>
  <c r="A367" i="2" s="1"/>
  <c r="A368" i="2" s="1" a="1"/>
  <c r="A368" i="2" s="1"/>
  <c r="A369" i="2" s="1" a="1"/>
  <c r="A369" i="2" s="1"/>
  <c r="A370" i="2" s="1" a="1"/>
  <c r="A370" i="2" s="1"/>
  <c r="A371" i="2" s="1" a="1"/>
  <c r="A371" i="2" s="1"/>
  <c r="A372" i="2" s="1" a="1"/>
  <c r="A372" i="2" s="1"/>
  <c r="A373" i="2" s="1" a="1"/>
  <c r="A373" i="2" s="1"/>
  <c r="A374" i="2" s="1" a="1"/>
  <c r="A374" i="2" s="1"/>
  <c r="A375" i="2" s="1" a="1"/>
  <c r="A375" i="2" s="1"/>
  <c r="A376" i="2" s="1" a="1"/>
  <c r="A376" i="2" s="1"/>
  <c r="A377" i="2" s="1" a="1"/>
  <c r="A377" i="2" s="1"/>
  <c r="A378" i="2" s="1" a="1"/>
  <c r="A378" i="2" s="1"/>
  <c r="A379" i="2" s="1" a="1"/>
  <c r="A379" i="2" s="1"/>
  <c r="A380" i="2" s="1" a="1"/>
  <c r="A380" i="2" s="1"/>
  <c r="A381" i="2" s="1" a="1"/>
  <c r="A381" i="2" s="1"/>
  <c r="A382" i="2" s="1" a="1"/>
  <c r="A382" i="2" s="1"/>
  <c r="A383" i="2" s="1" a="1"/>
  <c r="A383" i="2" s="1"/>
  <c r="A384" i="2" s="1" a="1"/>
  <c r="A384" i="2" s="1"/>
  <c r="A385" i="2" s="1" a="1"/>
  <c r="A385" i="2" s="1"/>
  <c r="A386" i="2" s="1" a="1"/>
  <c r="A386" i="2" s="1"/>
  <c r="A387" i="2" s="1" a="1"/>
  <c r="A387" i="2" s="1"/>
  <c r="A388" i="2" s="1" a="1"/>
  <c r="A388" i="2" s="1"/>
  <c r="A389" i="2" s="1" a="1"/>
  <c r="A389" i="2" s="1"/>
  <c r="A390" i="2" s="1" a="1"/>
  <c r="A390" i="2" s="1"/>
  <c r="A391" i="2" s="1" a="1"/>
  <c r="A391" i="2" s="1"/>
  <c r="A392" i="2" s="1" a="1"/>
  <c r="A392" i="2" s="1"/>
  <c r="A393" i="2" s="1" a="1"/>
  <c r="A393" i="2" s="1"/>
  <c r="A394" i="2" s="1" a="1"/>
  <c r="A394" i="2" s="1"/>
  <c r="A395" i="2" s="1" a="1"/>
  <c r="A395" i="2" s="1"/>
  <c r="A396" i="2" s="1" a="1"/>
  <c r="A396" i="2" s="1"/>
  <c r="A397" i="2" s="1" a="1"/>
  <c r="A397" i="2" s="1"/>
  <c r="A398" i="2" s="1" a="1"/>
  <c r="A398" i="2" s="1"/>
  <c r="A399" i="2" s="1" a="1"/>
  <c r="A399" i="2" s="1"/>
  <c r="A400" i="2" s="1" a="1"/>
  <c r="A400" i="2" s="1"/>
  <c r="A401" i="2" s="1" a="1"/>
  <c r="A401" i="2" s="1"/>
  <c r="A402" i="2" s="1" a="1"/>
  <c r="A402" i="2" s="1"/>
  <c r="A403" i="2" s="1" a="1"/>
  <c r="A403" i="2" s="1"/>
  <c r="A404" i="2" s="1" a="1"/>
  <c r="A404" i="2" s="1"/>
  <c r="A405" i="2" s="1" a="1"/>
  <c r="A405" i="2" s="1"/>
  <c r="A406" i="2" s="1" a="1"/>
  <c r="A406" i="2" s="1"/>
  <c r="A407" i="2" s="1" a="1"/>
  <c r="A407" i="2" s="1"/>
  <c r="A408" i="2" s="1" a="1"/>
  <c r="A408" i="2" s="1"/>
  <c r="A409" i="2" s="1" a="1"/>
  <c r="A409" i="2" s="1"/>
  <c r="A410" i="2" s="1" a="1"/>
  <c r="A410" i="2" s="1"/>
  <c r="A411" i="2" s="1" a="1"/>
  <c r="A411" i="2" s="1"/>
  <c r="A412" i="2" s="1" a="1"/>
  <c r="A412" i="2" s="1"/>
  <c r="A413" i="2" s="1" a="1"/>
  <c r="A413" i="2" s="1"/>
  <c r="A414" i="2" s="1" a="1"/>
  <c r="A414" i="2" s="1"/>
  <c r="A415" i="2" s="1" a="1"/>
  <c r="A415" i="2" s="1"/>
  <c r="A416" i="2" s="1" a="1"/>
  <c r="A416" i="2" s="1"/>
  <c r="A417" i="2" s="1" a="1"/>
  <c r="A417" i="2" s="1"/>
  <c r="A418" i="2" s="1" a="1"/>
  <c r="A418" i="2" s="1"/>
  <c r="A419" i="2" s="1" a="1"/>
  <c r="A419" i="2" s="1"/>
  <c r="A420" i="2" s="1" a="1"/>
  <c r="A420" i="2" s="1"/>
  <c r="A421" i="2" s="1" a="1"/>
  <c r="A421" i="2" s="1"/>
  <c r="A422" i="2" s="1" a="1"/>
  <c r="A422" i="2" s="1"/>
  <c r="A423" i="2" s="1" a="1"/>
  <c r="A423" i="2" s="1"/>
  <c r="A424" i="2" s="1" a="1"/>
  <c r="A424" i="2" s="1"/>
  <c r="A425" i="2" s="1" a="1"/>
  <c r="A425" i="2" s="1"/>
  <c r="A426" i="2" s="1" a="1"/>
  <c r="A426" i="2" s="1"/>
  <c r="A427" i="2" s="1" a="1"/>
  <c r="A427" i="2" s="1"/>
  <c r="A428" i="2" s="1" a="1"/>
  <c r="A428" i="2" s="1"/>
  <c r="A429" i="2" s="1" a="1"/>
  <c r="A429" i="2" s="1"/>
  <c r="A430" i="2" s="1" a="1"/>
  <c r="A430" i="2" s="1"/>
  <c r="A431" i="2" s="1" a="1"/>
  <c r="A431" i="2" s="1"/>
  <c r="A432" i="2" s="1" a="1"/>
  <c r="A432" i="2" s="1"/>
  <c r="A433" i="2" s="1" a="1"/>
  <c r="A433" i="2" s="1"/>
  <c r="A434" i="2" s="1" a="1"/>
  <c r="A434" i="2" s="1"/>
  <c r="A435" i="2" s="1" a="1"/>
  <c r="A435" i="2" s="1"/>
  <c r="A436" i="2" s="1" a="1"/>
  <c r="A436" i="2" s="1"/>
  <c r="A437" i="2" s="1" a="1"/>
  <c r="A437" i="2" s="1"/>
  <c r="A438" i="2" s="1" a="1"/>
  <c r="A438" i="2" s="1"/>
  <c r="A439" i="2" s="1" a="1"/>
  <c r="A439" i="2" s="1"/>
  <c r="A440" i="2" s="1" a="1"/>
  <c r="A440" i="2" s="1"/>
  <c r="A441" i="2" s="1" a="1"/>
  <c r="A441" i="2" s="1"/>
  <c r="A442" i="2" s="1" a="1"/>
  <c r="A442" i="2" s="1"/>
  <c r="A443" i="2" s="1" a="1"/>
  <c r="A443" i="2" s="1"/>
  <c r="A444" i="2" s="1" a="1"/>
  <c r="A444" i="2" s="1"/>
  <c r="A445" i="2" s="1" a="1"/>
  <c r="A445" i="2" s="1"/>
  <c r="A446" i="2" s="1" a="1"/>
  <c r="A446" i="2" s="1"/>
  <c r="A447" i="2" s="1" a="1"/>
  <c r="A447" i="2" s="1"/>
  <c r="A448" i="2" s="1" a="1"/>
  <c r="A448" i="2" s="1"/>
  <c r="A449" i="2" s="1" a="1"/>
  <c r="A449" i="2" s="1"/>
  <c r="A450" i="2" s="1" a="1"/>
  <c r="A450" i="2" s="1"/>
  <c r="A451" i="2" s="1" a="1"/>
  <c r="A451" i="2" s="1"/>
  <c r="A452" i="2" s="1" a="1"/>
  <c r="A452" i="2" s="1"/>
  <c r="A453" i="2" s="1" a="1"/>
  <c r="A453" i="2" s="1"/>
  <c r="A454" i="2" s="1" a="1"/>
  <c r="A454" i="2" s="1"/>
  <c r="A455" i="2" s="1" a="1"/>
  <c r="A455" i="2" s="1"/>
  <c r="A456" i="2" s="1" a="1"/>
  <c r="A456" i="2" s="1"/>
  <c r="A457" i="2" s="1" a="1"/>
  <c r="A457" i="2" s="1"/>
  <c r="A458" i="2" s="1" a="1"/>
  <c r="A458" i="2" s="1"/>
  <c r="A459" i="2" s="1" a="1"/>
  <c r="A459" i="2" s="1"/>
  <c r="A460" i="2" s="1" a="1"/>
  <c r="A460" i="2" s="1"/>
  <c r="A461" i="2" s="1" a="1"/>
  <c r="A461" i="2" s="1"/>
  <c r="A462" i="2" s="1" a="1"/>
  <c r="A462" i="2" s="1"/>
  <c r="A463" i="2" s="1" a="1"/>
  <c r="A463" i="2" s="1"/>
  <c r="A464" i="2" s="1" a="1"/>
  <c r="A464" i="2" s="1"/>
  <c r="A465" i="2" s="1" a="1"/>
  <c r="A465" i="2" s="1"/>
  <c r="A466" i="2" s="1" a="1"/>
  <c r="A466" i="2" s="1"/>
  <c r="A467" i="2" s="1" a="1"/>
  <c r="A467" i="2" s="1"/>
  <c r="A468" i="2" s="1" a="1"/>
  <c r="A468" i="2" s="1"/>
  <c r="A469" i="2" s="1" a="1"/>
  <c r="A469" i="2" s="1"/>
  <c r="A470" i="2" s="1" a="1"/>
  <c r="A470" i="2" s="1"/>
  <c r="A471" i="2" s="1" a="1"/>
  <c r="A471" i="2" s="1"/>
  <c r="A472" i="2" s="1" a="1"/>
  <c r="A472" i="2" s="1"/>
  <c r="A473" i="2" s="1" a="1"/>
  <c r="A473" i="2" s="1"/>
  <c r="A474" i="2" s="1" a="1"/>
  <c r="A474" i="2" s="1"/>
  <c r="A475" i="2" s="1" a="1"/>
  <c r="A475" i="2" s="1"/>
  <c r="A476" i="2" s="1" a="1"/>
  <c r="A476" i="2" s="1"/>
  <c r="A477" i="2" s="1" a="1"/>
  <c r="A477" i="2" s="1"/>
  <c r="A478" i="2" s="1" a="1"/>
  <c r="A478" i="2" s="1"/>
  <c r="A479" i="2" s="1" a="1"/>
  <c r="A479" i="2" s="1"/>
  <c r="A480" i="2" s="1" a="1"/>
  <c r="A480" i="2" s="1"/>
  <c r="A481" i="2" s="1" a="1"/>
  <c r="A481" i="2" s="1"/>
  <c r="A482" i="2" s="1" a="1"/>
  <c r="A482" i="2" s="1"/>
  <c r="A483" i="2" s="1" a="1"/>
  <c r="A483" i="2" s="1"/>
  <c r="A484" i="2" s="1" a="1"/>
  <c r="A484" i="2" s="1"/>
  <c r="A485" i="2" s="1" a="1"/>
  <c r="A485" i="2" s="1"/>
  <c r="A486" i="2" s="1" a="1"/>
  <c r="A486" i="2" s="1"/>
  <c r="A487" i="2" s="1" a="1"/>
  <c r="A487" i="2" s="1"/>
  <c r="A488" i="2" s="1" a="1"/>
  <c r="A488" i="2" s="1"/>
  <c r="A489" i="2" s="1" a="1"/>
  <c r="A489" i="2" s="1"/>
  <c r="A490" i="2" s="1" a="1"/>
  <c r="A490" i="2" s="1"/>
  <c r="A491" i="2" s="1" a="1"/>
  <c r="A491" i="2" s="1"/>
  <c r="A492" i="2" s="1" a="1"/>
  <c r="A492" i="2" s="1"/>
  <c r="A493" i="2" s="1" a="1"/>
  <c r="A493" i="2" s="1"/>
  <c r="A494" i="2" s="1" a="1"/>
  <c r="A494" i="2" s="1"/>
  <c r="A495" i="2" s="1" a="1"/>
  <c r="A495" i="2" s="1"/>
  <c r="A496" i="2" s="1" a="1"/>
  <c r="A496" i="2" s="1"/>
  <c r="A497" i="2" s="1" a="1"/>
  <c r="A497" i="2" s="1"/>
  <c r="A498" i="2" s="1" a="1"/>
  <c r="A498" i="2" s="1"/>
  <c r="A499" i="2" s="1" a="1"/>
  <c r="A499" i="2" s="1"/>
  <c r="A500" i="2" s="1" a="1"/>
  <c r="A500" i="2" s="1"/>
  <c r="A501" i="2" s="1" a="1"/>
  <c r="A501" i="2" s="1"/>
  <c r="A502" i="2" s="1" a="1"/>
  <c r="A502" i="2" s="1"/>
  <c r="A503" i="2" s="1" a="1"/>
  <c r="A503" i="2" s="1"/>
  <c r="A504" i="2" s="1" a="1"/>
  <c r="A504" i="2" s="1"/>
  <c r="A505" i="2" s="1" a="1"/>
  <c r="A505" i="2" s="1"/>
  <c r="A506" i="2" s="1" a="1"/>
  <c r="A506" i="2" s="1"/>
  <c r="A507" i="2" s="1" a="1"/>
  <c r="A507" i="2" s="1"/>
  <c r="A508" i="2" s="1" a="1"/>
  <c r="A508" i="2" s="1"/>
  <c r="A509" i="2" s="1" a="1"/>
  <c r="A509" i="2" s="1"/>
  <c r="A510" i="2" s="1" a="1"/>
  <c r="A510" i="2" s="1"/>
  <c r="A511" i="2" s="1" a="1"/>
  <c r="A511" i="2" s="1"/>
  <c r="A512" i="2" s="1" a="1"/>
  <c r="A512" i="2" s="1"/>
  <c r="A513" i="2" s="1" a="1"/>
  <c r="A513" i="2" s="1"/>
  <c r="A514" i="2" s="1" a="1"/>
  <c r="A51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<sst xmlns="http://schemas.openxmlformats.org/spreadsheetml/2006/main" count="4204" uniqueCount="1434">
  <si>
    <t>Master Modules Change Log</t>
  </si>
  <si>
    <t>No.</t>
  </si>
  <si>
    <t>Description</t>
  </si>
  <si>
    <t>Date</t>
  </si>
  <si>
    <t>Change Description</t>
  </si>
  <si>
    <t>Notes</t>
  </si>
  <si>
    <t>After Revision 5 was approved by the client and integrated into the PEP and the full project schedule, any remaining changes are limited to complementary sections</t>
  </si>
  <si>
    <t>-</t>
  </si>
  <si>
    <t xml:space="preserve">Version Approved </t>
  </si>
  <si>
    <t>Revision 6</t>
  </si>
  <si>
    <t>Estimated Weight (lb) was added</t>
  </si>
  <si>
    <t xml:space="preserve">Revision 7 </t>
  </si>
  <si>
    <t>February 4,2026</t>
  </si>
  <si>
    <t>Mod Type was added</t>
  </si>
  <si>
    <t>Revision 8</t>
  </si>
  <si>
    <t>February 12,2026</t>
  </si>
  <si>
    <t>Revision 9</t>
  </si>
  <si>
    <t xml:space="preserve">Pre-yard inspection was added </t>
  </si>
  <si>
    <t>Revison 10</t>
  </si>
  <si>
    <t>Current Version</t>
  </si>
  <si>
    <r>
      <rPr>
        <sz val="25"/>
        <color indexed="8"/>
        <rFont val="Helvetica Neue Light"/>
      </rPr>
      <t xml:space="preserve">Master Modules Matrix
</t>
    </r>
    <r>
      <rPr>
        <sz val="30"/>
        <color indexed="8"/>
        <rFont val="Helvetica Neue"/>
        <family val="2"/>
      </rPr>
      <t xml:space="preserve">Project No. 25106 AFF &amp; MR | The Walk at NorWalk
</t>
    </r>
    <r>
      <rPr>
        <sz val="20"/>
        <color indexed="8"/>
        <rFont val="Helvetica Neue Light"/>
      </rPr>
      <t xml:space="preserve"> Affordable and Market Rate</t>
    </r>
  </si>
  <si>
    <r>
      <rPr>
        <b/>
        <sz val="12"/>
        <color indexed="9"/>
        <rFont val="Helvetica Neue"/>
        <family val="2"/>
      </rPr>
      <t>PROJECT INFORMATION</t>
    </r>
  </si>
  <si>
    <t>Project:</t>
  </si>
  <si>
    <t>The Walk at NorWalk</t>
  </si>
  <si>
    <t>Affordable Residential Housing (AFF) SQFT:</t>
  </si>
  <si>
    <t>AFF Number of Modules:</t>
  </si>
  <si>
    <t>88 + 7</t>
  </si>
  <si>
    <t>Revision:</t>
  </si>
  <si>
    <t>Project Address:</t>
  </si>
  <si>
    <t>12700 Norwalk Blvd, Norwalk, CA 90650</t>
  </si>
  <si>
    <t>Market-Rate Residential Housing (MR) SQFT:</t>
  </si>
  <si>
    <t>MR Number of Modules:</t>
  </si>
  <si>
    <t>Date:</t>
  </si>
  <si>
    <r>
      <rPr>
        <b/>
        <sz val="12"/>
        <color indexed="9"/>
        <rFont val="Helvetica Neue"/>
        <family val="2"/>
      </rPr>
      <t xml:space="preserve">MASTER MODULES MATRIX </t>
    </r>
    <r>
      <rPr>
        <b/>
        <sz val="12"/>
        <color indexed="9"/>
        <rFont val="Helvetica Neue"/>
        <family val="2"/>
      </rPr>
      <t xml:space="preserve">SUMMARY </t>
    </r>
  </si>
  <si>
    <t>Tranche</t>
  </si>
  <si>
    <t>Chassis Shop Drawings</t>
  </si>
  <si>
    <t xml:space="preserve"> Due Date Required for Approved Chassis Drawings</t>
  </si>
  <si>
    <t>Module Shop Drawings</t>
  </si>
  <si>
    <t>Due Date Required for Approved Modules Drawings</t>
  </si>
  <si>
    <t>Chassis Fabrication</t>
  </si>
  <si>
    <t>Module Fabrication</t>
  </si>
  <si>
    <t>Pre-Yard Inspection</t>
  </si>
  <si>
    <t>Shipping</t>
  </si>
  <si>
    <t>Yard Inspection</t>
  </si>
  <si>
    <t>3/18/26 - 4/30/26</t>
  </si>
  <si>
    <t>4/1/26 - 5/7/26</t>
  </si>
  <si>
    <t>3/26/26 - 4/29/26</t>
  </si>
  <si>
    <t>4/6/26 - 8/3/26</t>
  </si>
  <si>
    <t>4/27/26 - 9/24/26</t>
  </si>
  <si>
    <t>TBD</t>
  </si>
  <si>
    <t>4/29/26 - 9/28/26</t>
  </si>
  <si>
    <t>4/30/26 - 9/29/26</t>
  </si>
  <si>
    <t>3/18/26 - 5/21/26</t>
  </si>
  <si>
    <t>4/2/26 - 6/4/26</t>
  </si>
  <si>
    <t>4/30/26 - 5/25/26</t>
  </si>
  <si>
    <t>6/3/26 - 9/17/26</t>
  </si>
  <si>
    <t>7/6/26 - 11/6/26</t>
  </si>
  <si>
    <t>7/8/26 - 11/10/26</t>
  </si>
  <si>
    <t>7/9/26 - 11/11/26</t>
  </si>
  <si>
    <t>4/30/26 - 6/26/26</t>
  </si>
  <si>
    <t>6/12/26 - 7/10/26</t>
  </si>
  <si>
    <t>6/1/26 - 7/7/26</t>
  </si>
  <si>
    <t>8/17/26 - 11/4/26</t>
  </si>
  <si>
    <t>9/28/26 - 1/13/27</t>
  </si>
  <si>
    <t>9/30/26 - 1/15/27</t>
  </si>
  <si>
    <t>9/30/26 - 1/18/27</t>
  </si>
  <si>
    <t>4</t>
  </si>
  <si>
    <t>12/10/25 - 7/16/26</t>
  </si>
  <si>
    <t>3/12/26 - 7/30/26</t>
  </si>
  <si>
    <t>2/2/26 - 3/31/26</t>
  </si>
  <si>
    <t>10/17/26 - 12/29/26</t>
  </si>
  <si>
    <t>12/2/26 - 3/5/27</t>
  </si>
  <si>
    <t>12/4/26 - 3/9/27</t>
  </si>
  <si>
    <t>12/7/26 - 3/10/27</t>
  </si>
  <si>
    <t>Item</t>
  </si>
  <si>
    <t>Module</t>
  </si>
  <si>
    <t>Mod Type</t>
  </si>
  <si>
    <t>Module Serial Number</t>
  </si>
  <si>
    <t>Oversized</t>
  </si>
  <si>
    <t>Dimension</t>
  </si>
  <si>
    <t>Estimated Weight (lb)</t>
  </si>
  <si>
    <t>Production Sequence
Line 1</t>
  </si>
  <si>
    <t>Production Sequence
Line 2</t>
  </si>
  <si>
    <t>Chassis Shop Approval</t>
  </si>
  <si>
    <t>Module Shop Drawing</t>
  </si>
  <si>
    <t>Module Shop Drawings Approval</t>
  </si>
  <si>
    <t xml:space="preserve">Shipping </t>
  </si>
  <si>
    <t>Yard</t>
  </si>
  <si>
    <t>Status</t>
  </si>
  <si>
    <t>Start Date</t>
  </si>
  <si>
    <t>Due Date</t>
  </si>
  <si>
    <t xml:space="preserve"> Due Date Required for Approved Drawings</t>
  </si>
  <si>
    <t>Revision Status</t>
  </si>
  <si>
    <t>Due Date Required for Approved Drawings</t>
  </si>
  <si>
    <t>Assigned Fabricator</t>
  </si>
  <si>
    <t>Inspection Notes</t>
  </si>
  <si>
    <t xml:space="preserve">Status </t>
  </si>
  <si>
    <t>Shipping Date</t>
  </si>
  <si>
    <t>Arrival Date</t>
  </si>
  <si>
    <t xml:space="preserve">Yard Inspection Date </t>
  </si>
  <si>
    <t>M94</t>
  </si>
  <si>
    <t>PP</t>
  </si>
  <si>
    <t>CG7M-2RB2</t>
  </si>
  <si>
    <t>14'-10'' x 40'-4'' x 11'-1''</t>
  </si>
  <si>
    <t>Approved As Noted</t>
  </si>
  <si>
    <t>EMP</t>
  </si>
  <si>
    <t>M95</t>
  </si>
  <si>
    <t>VVV</t>
  </si>
  <si>
    <t>CH7M-K10</t>
  </si>
  <si>
    <t>12'-11'' x 40'-5'' x 11'-1''</t>
  </si>
  <si>
    <t>M486</t>
  </si>
  <si>
    <t>ZZ</t>
  </si>
  <si>
    <t>BB7M-S3</t>
  </si>
  <si>
    <t>12'-9" x 37'-8" x 11'-1"</t>
  </si>
  <si>
    <t>West Modular</t>
  </si>
  <si>
    <t>M487</t>
  </si>
  <si>
    <t>BB</t>
  </si>
  <si>
    <t>BA7M-KB7</t>
  </si>
  <si>
    <t>M96</t>
  </si>
  <si>
    <t>A</t>
  </si>
  <si>
    <t>A1M-K2</t>
  </si>
  <si>
    <t>14'-10” x 38'-8” x 11'-1"</t>
  </si>
  <si>
    <t>5/4/26</t>
  </si>
  <si>
    <t>M118</t>
  </si>
  <si>
    <t>VV</t>
  </si>
  <si>
    <t>A2M-K2W</t>
  </si>
  <si>
    <t>Approved</t>
  </si>
  <si>
    <t>5/5/26</t>
  </si>
  <si>
    <t>M140</t>
  </si>
  <si>
    <t>A3M-K2W</t>
  </si>
  <si>
    <t>5/6/26</t>
  </si>
  <si>
    <t>M162</t>
  </si>
  <si>
    <t>A4M-K2W</t>
  </si>
  <si>
    <t>5/7/26</t>
  </si>
  <si>
    <t>M184</t>
  </si>
  <si>
    <t>A5M-K2W</t>
  </si>
  <si>
    <t>5/8/26</t>
  </si>
  <si>
    <t>M206</t>
  </si>
  <si>
    <t>A6M-K2W</t>
  </si>
  <si>
    <t>5/11/26</t>
  </si>
  <si>
    <t>M228</t>
  </si>
  <si>
    <t>A7M-K2W</t>
  </si>
  <si>
    <t>5/12/26</t>
  </si>
  <si>
    <t>M97</t>
  </si>
  <si>
    <t>Am</t>
  </si>
  <si>
    <t>B1M-K1</t>
  </si>
  <si>
    <t>5/13/26</t>
  </si>
  <si>
    <t>M119</t>
  </si>
  <si>
    <t>VVm</t>
  </si>
  <si>
    <t>B2M-K1W</t>
  </si>
  <si>
    <t>5/14/26</t>
  </si>
  <si>
    <t>M141</t>
  </si>
  <si>
    <t>B3M-K1W</t>
  </si>
  <si>
    <t>5/15/26</t>
  </si>
  <si>
    <t>M163</t>
  </si>
  <si>
    <t>B4M-K1W</t>
  </si>
  <si>
    <t>5/18/26</t>
  </si>
  <si>
    <t>M185</t>
  </si>
  <si>
    <t>B5M-K1W</t>
  </si>
  <si>
    <t>5/19/26</t>
  </si>
  <si>
    <t>M207</t>
  </si>
  <si>
    <t>B6M-K1W</t>
  </si>
  <si>
    <t>5/20/26</t>
  </si>
  <si>
    <t>M229</t>
  </si>
  <si>
    <t>B7M-K1W</t>
  </si>
  <si>
    <t>M98</t>
  </si>
  <si>
    <t>B</t>
  </si>
  <si>
    <t>C1M-B2</t>
  </si>
  <si>
    <t>14'-10" x 35'-6” x 11'-1"</t>
  </si>
  <si>
    <t>5/21/26</t>
  </si>
  <si>
    <t>M120</t>
  </si>
  <si>
    <t>C2M-B2</t>
  </si>
  <si>
    <t>M142</t>
  </si>
  <si>
    <t>C3M-B2</t>
  </si>
  <si>
    <t>5/22/26</t>
  </si>
  <si>
    <t>M164</t>
  </si>
  <si>
    <t>C4M-B2</t>
  </si>
  <si>
    <t>M186</t>
  </si>
  <si>
    <t>C5M-B2</t>
  </si>
  <si>
    <t>5/25/26</t>
  </si>
  <si>
    <t>M208</t>
  </si>
  <si>
    <t>C6M-B2</t>
  </si>
  <si>
    <t>M230</t>
  </si>
  <si>
    <t>C7M-B2</t>
  </si>
  <si>
    <t>5/26/26</t>
  </si>
  <si>
    <t>M99</t>
  </si>
  <si>
    <t>C</t>
  </si>
  <si>
    <t>D1M-B1</t>
  </si>
  <si>
    <t>M121</t>
  </si>
  <si>
    <t>D2M-B1</t>
  </si>
  <si>
    <t>5/27/26</t>
  </si>
  <si>
    <t>M143</t>
  </si>
  <si>
    <t>D3M-B1</t>
  </si>
  <si>
    <t>M165</t>
  </si>
  <si>
    <t>D4M-B1</t>
  </si>
  <si>
    <t>5/28/26</t>
  </si>
  <si>
    <t>M187</t>
  </si>
  <si>
    <t>D5M-B1</t>
  </si>
  <si>
    <t>M209</t>
  </si>
  <si>
    <t>D6M-B1</t>
  </si>
  <si>
    <t>5/29/26</t>
  </si>
  <si>
    <t>M231</t>
  </si>
  <si>
    <t>D7M-B1</t>
  </si>
  <si>
    <t>M102</t>
  </si>
  <si>
    <t>F</t>
  </si>
  <si>
    <t>G1M-K4</t>
  </si>
  <si>
    <t>15'-10" x 37'-7" x 11'-1"</t>
  </si>
  <si>
    <t>M124</t>
  </si>
  <si>
    <t>G2M-K4</t>
  </si>
  <si>
    <t>M146</t>
  </si>
  <si>
    <t>G3M-K4</t>
  </si>
  <si>
    <t>M168</t>
  </si>
  <si>
    <t>G4M-K4</t>
  </si>
  <si>
    <t>M190</t>
  </si>
  <si>
    <t>G5M-K4</t>
  </si>
  <si>
    <t>M212</t>
  </si>
  <si>
    <t>G6M-K4</t>
  </si>
  <si>
    <t>M234</t>
  </si>
  <si>
    <t>G7M-K4</t>
  </si>
  <si>
    <t>M116</t>
  </si>
  <si>
    <t>P</t>
  </si>
  <si>
    <t>U1M-KB2</t>
  </si>
  <si>
    <t>15'-10" x 31’ x 11'-1"</t>
  </si>
  <si>
    <t>M138</t>
  </si>
  <si>
    <t>U2M-KB2</t>
  </si>
  <si>
    <t>M160</t>
  </si>
  <si>
    <t>U3M-KB2</t>
  </si>
  <si>
    <t>M182</t>
  </si>
  <si>
    <t>U4M-KB2</t>
  </si>
  <si>
    <t>M204</t>
  </si>
  <si>
    <t>U5M-KB2</t>
  </si>
  <si>
    <t>M226</t>
  </si>
  <si>
    <t>U6M-KB2</t>
  </si>
  <si>
    <t>M248</t>
  </si>
  <si>
    <t>U7M-KB2</t>
  </si>
  <si>
    <t>M117</t>
  </si>
  <si>
    <t>Q</t>
  </si>
  <si>
    <t>V1M-KB3</t>
  </si>
  <si>
    <t>M139</t>
  </si>
  <si>
    <t>V2M-KB3</t>
  </si>
  <si>
    <t>M161</t>
  </si>
  <si>
    <t>V3M-KB3</t>
  </si>
  <si>
    <t>M183</t>
  </si>
  <si>
    <t>V4M-KB3</t>
  </si>
  <si>
    <t>M205</t>
  </si>
  <si>
    <t>V5M-KB3</t>
  </si>
  <si>
    <t>M227</t>
  </si>
  <si>
    <t>V6M-KB3</t>
  </si>
  <si>
    <t>7/1/26</t>
  </si>
  <si>
    <t>M249</t>
  </si>
  <si>
    <t>V7M-KB3</t>
  </si>
  <si>
    <t>7/2/26</t>
  </si>
  <si>
    <t>M129</t>
  </si>
  <si>
    <t>L2M-KB1</t>
  </si>
  <si>
    <t>12'-9” x 37'-8” x 11'-1"</t>
  </si>
  <si>
    <t>M151</t>
  </si>
  <si>
    <t>L3M-KB1</t>
  </si>
  <si>
    <t>M173</t>
  </si>
  <si>
    <t>L4M-KB1</t>
  </si>
  <si>
    <t>M195</t>
  </si>
  <si>
    <t>L5M-KB1</t>
  </si>
  <si>
    <t>M217</t>
  </si>
  <si>
    <t>L6M-KB1</t>
  </si>
  <si>
    <t>M239</t>
  </si>
  <si>
    <t>L7M-KB1</t>
  </si>
  <si>
    <t>M109</t>
  </si>
  <si>
    <t>M</t>
  </si>
  <si>
    <t>N1M-KB1</t>
  </si>
  <si>
    <t>7/3/26</t>
  </si>
  <si>
    <t>M131</t>
  </si>
  <si>
    <t>AAA</t>
  </si>
  <si>
    <t>N2M-KB1</t>
  </si>
  <si>
    <t>7/6/26</t>
  </si>
  <si>
    <t>M153</t>
  </si>
  <si>
    <t>N3M-KB1</t>
  </si>
  <si>
    <t>7/7/26</t>
  </si>
  <si>
    <t>M175</t>
  </si>
  <si>
    <t>N4M-KB1</t>
  </si>
  <si>
    <t>7/8/26</t>
  </si>
  <si>
    <t>M197</t>
  </si>
  <si>
    <t>N5M-KB1</t>
  </si>
  <si>
    <t>7/9/26</t>
  </si>
  <si>
    <t>M219</t>
  </si>
  <si>
    <t>N6M-KB1</t>
  </si>
  <si>
    <t>7/10/26</t>
  </si>
  <si>
    <t>M241</t>
  </si>
  <si>
    <t>N7M-KB1</t>
  </si>
  <si>
    <t>7/13/26</t>
  </si>
  <si>
    <t>M128</t>
  </si>
  <si>
    <t>AAAA</t>
  </si>
  <si>
    <t>K2M-S5</t>
  </si>
  <si>
    <t>7/14/26</t>
  </si>
  <si>
    <t>M150</t>
  </si>
  <si>
    <t>K3M-S5</t>
  </si>
  <si>
    <t>7/15/26</t>
  </si>
  <si>
    <t>M172</t>
  </si>
  <si>
    <t>K4M-S5</t>
  </si>
  <si>
    <t>7/16/26</t>
  </si>
  <si>
    <t>M194</t>
  </si>
  <si>
    <t>K5M-S5</t>
  </si>
  <si>
    <t>7/17/26</t>
  </si>
  <si>
    <t>M216</t>
  </si>
  <si>
    <t>K6M-S5</t>
  </si>
  <si>
    <t>7/20/26</t>
  </si>
  <si>
    <t>M238</t>
  </si>
  <si>
    <t>K7M-S5</t>
  </si>
  <si>
    <t>7/21/26</t>
  </si>
  <si>
    <t>M108</t>
  </si>
  <si>
    <t>L</t>
  </si>
  <si>
    <t>M1M-S3</t>
  </si>
  <si>
    <t>7/22/26</t>
  </si>
  <si>
    <t>M130</t>
  </si>
  <si>
    <t>M2M-S3</t>
  </si>
  <si>
    <t>7/23/26</t>
  </si>
  <si>
    <t>M152</t>
  </si>
  <si>
    <t>M3M-S3</t>
  </si>
  <si>
    <t>M174</t>
  </si>
  <si>
    <t>M4M-S3</t>
  </si>
  <si>
    <t>M196</t>
  </si>
  <si>
    <t>M5M-S3</t>
  </si>
  <si>
    <t>M218</t>
  </si>
  <si>
    <t>M6M-S3</t>
  </si>
  <si>
    <t>M240</t>
  </si>
  <si>
    <t>M7M-S3</t>
  </si>
  <si>
    <t>M104</t>
  </si>
  <si>
    <t>YY</t>
  </si>
  <si>
    <t>I1M-K6</t>
  </si>
  <si>
    <t>14'-10” x 42'-8” x 11'-1"</t>
  </si>
  <si>
    <t>M126</t>
  </si>
  <si>
    <t>I2M-K6</t>
  </si>
  <si>
    <t>M148</t>
  </si>
  <si>
    <t>I3M-K6</t>
  </si>
  <si>
    <t>M170</t>
  </si>
  <si>
    <t>I4M-K6</t>
  </si>
  <si>
    <t>M192</t>
  </si>
  <si>
    <t>I5M-K6</t>
  </si>
  <si>
    <t>M214</t>
  </si>
  <si>
    <t>I6M-K6</t>
  </si>
  <si>
    <t>M236</t>
  </si>
  <si>
    <t>I7M-K6</t>
  </si>
  <si>
    <t>M105</t>
  </si>
  <si>
    <t>I</t>
  </si>
  <si>
    <t>J1M-B5</t>
  </si>
  <si>
    <t>M127</t>
  </si>
  <si>
    <t>J2M-B5</t>
  </si>
  <si>
    <t>M149</t>
  </si>
  <si>
    <t>J3M-B5</t>
  </si>
  <si>
    <t>M171</t>
  </si>
  <si>
    <t>J4M-B5</t>
  </si>
  <si>
    <t>M193</t>
  </si>
  <si>
    <t>J5M-B5</t>
  </si>
  <si>
    <t>M215</t>
  </si>
  <si>
    <t>J6M-B5</t>
  </si>
  <si>
    <t>M237</t>
  </si>
  <si>
    <t>J7M-B5</t>
  </si>
  <si>
    <t>M106</t>
  </si>
  <si>
    <t>J</t>
  </si>
  <si>
    <t>K1M-E1</t>
  </si>
  <si>
    <t>M107</t>
  </si>
  <si>
    <t>K</t>
  </si>
  <si>
    <t>L1M-E2</t>
  </si>
  <si>
    <t>M262</t>
  </si>
  <si>
    <t>Fm</t>
  </si>
  <si>
    <t>AI1M-KB4</t>
  </si>
  <si>
    <t>M279</t>
  </si>
  <si>
    <t>AI2M-KB4</t>
  </si>
  <si>
    <t>M296</t>
  </si>
  <si>
    <t>AI3M-KB4</t>
  </si>
  <si>
    <t>96</t>
  </si>
  <si>
    <t>M316</t>
  </si>
  <si>
    <t>AI4M-KB4</t>
  </si>
  <si>
    <t>97</t>
  </si>
  <si>
    <t>M336</t>
  </si>
  <si>
    <t>AI5M-KB4</t>
  </si>
  <si>
    <t>98</t>
  </si>
  <si>
    <t>M356</t>
  </si>
  <si>
    <t>AI6M-KB4</t>
  </si>
  <si>
    <t>99</t>
  </si>
  <si>
    <t>M373</t>
  </si>
  <si>
    <t>AI7M-KB4</t>
  </si>
  <si>
    <t>100</t>
  </si>
  <si>
    <t>M303</t>
  </si>
  <si>
    <t>QQQ</t>
  </si>
  <si>
    <t>AP3M-KB4</t>
  </si>
  <si>
    <t>101</t>
  </si>
  <si>
    <t>M323</t>
  </si>
  <si>
    <t>AP4M-KB4</t>
  </si>
  <si>
    <t>102</t>
  </si>
  <si>
    <t>M343</t>
  </si>
  <si>
    <t>AP5M-KB4</t>
  </si>
  <si>
    <t>103</t>
  </si>
  <si>
    <t>M280</t>
  </si>
  <si>
    <t>KKKK</t>
  </si>
  <si>
    <t>AJ2M-S6</t>
  </si>
  <si>
    <t>12'-9" x 37'-8” x 11'-1"</t>
  </si>
  <si>
    <t>104</t>
  </si>
  <si>
    <t>8/13/26</t>
  </si>
  <si>
    <t>M297</t>
  </si>
  <si>
    <t>AJ3M-S6</t>
  </si>
  <si>
    <t>105</t>
  </si>
  <si>
    <t>M317</t>
  </si>
  <si>
    <t>AJ4M-S6</t>
  </si>
  <si>
    <t>106</t>
  </si>
  <si>
    <t>8/14/26</t>
  </si>
  <si>
    <t>M337</t>
  </si>
  <si>
    <t>AJ5M-S6</t>
  </si>
  <si>
    <t>107</t>
  </si>
  <si>
    <t>8/17/26</t>
  </si>
  <si>
    <t>M357</t>
  </si>
  <si>
    <t>AJ6M-S6</t>
  </si>
  <si>
    <t>108</t>
  </si>
  <si>
    <t>M374</t>
  </si>
  <si>
    <t>AJ7M-S6</t>
  </si>
  <si>
    <t>109</t>
  </si>
  <si>
    <t>8/18/26</t>
  </si>
  <si>
    <t>M301</t>
  </si>
  <si>
    <t>OOO</t>
  </si>
  <si>
    <t>AN3M-S7</t>
  </si>
  <si>
    <t>110</t>
  </si>
  <si>
    <t>M321</t>
  </si>
  <si>
    <t>AN4M-S7</t>
  </si>
  <si>
    <t>111</t>
  </si>
  <si>
    <t>M341</t>
  </si>
  <si>
    <t>AN5M-S7</t>
  </si>
  <si>
    <t>112</t>
  </si>
  <si>
    <t>M281</t>
  </si>
  <si>
    <t>FFF</t>
  </si>
  <si>
    <t>AK2M-K7</t>
  </si>
  <si>
    <t>113</t>
  </si>
  <si>
    <t>8/21/26</t>
  </si>
  <si>
    <t>M298</t>
  </si>
  <si>
    <t>BBm</t>
  </si>
  <si>
    <t>AK3M-K7</t>
  </si>
  <si>
    <t>114</t>
  </si>
  <si>
    <t>M318</t>
  </si>
  <si>
    <t>AK4M-K7</t>
  </si>
  <si>
    <t>115</t>
  </si>
  <si>
    <t>8/24/26</t>
  </si>
  <si>
    <t>M338</t>
  </si>
  <si>
    <t>AK5M-K7</t>
  </si>
  <si>
    <t>116</t>
  </si>
  <si>
    <t>8/25/26</t>
  </si>
  <si>
    <t>M358</t>
  </si>
  <si>
    <t>UUU</t>
  </si>
  <si>
    <t>AK6M-K7</t>
  </si>
  <si>
    <t>117</t>
  </si>
  <si>
    <t>M375</t>
  </si>
  <si>
    <t>AK7M-K7</t>
  </si>
  <si>
    <t>118</t>
  </si>
  <si>
    <t>8/26/26</t>
  </si>
  <si>
    <t>M302</t>
  </si>
  <si>
    <t>PPP</t>
  </si>
  <si>
    <t>AO3M-K7</t>
  </si>
  <si>
    <t>119</t>
  </si>
  <si>
    <t>M322</t>
  </si>
  <si>
    <t>AO4M-K7</t>
  </si>
  <si>
    <t>120</t>
  </si>
  <si>
    <t>M342</t>
  </si>
  <si>
    <t>AO5M-K7</t>
  </si>
  <si>
    <t>121</t>
  </si>
  <si>
    <t>M283</t>
  </si>
  <si>
    <t>HHH</t>
  </si>
  <si>
    <t>AM2M-KB11</t>
  </si>
  <si>
    <t>15'-10” x 38'-4” x 11'-1"</t>
  </si>
  <si>
    <t>122</t>
  </si>
  <si>
    <t>M300</t>
  </si>
  <si>
    <t>AM3M-KB11</t>
  </si>
  <si>
    <t>123</t>
  </si>
  <si>
    <t>M320</t>
  </si>
  <si>
    <t>AM4M-KB11</t>
  </si>
  <si>
    <t>124</t>
  </si>
  <si>
    <t>M340</t>
  </si>
  <si>
    <t>AM5M-KB11</t>
  </si>
  <si>
    <t>125</t>
  </si>
  <si>
    <t>M360</t>
  </si>
  <si>
    <t>AM6M-KB11</t>
  </si>
  <si>
    <t>126</t>
  </si>
  <si>
    <t>M377</t>
  </si>
  <si>
    <t>AM7M-KB11</t>
  </si>
  <si>
    <t>127</t>
  </si>
  <si>
    <t>M282</t>
  </si>
  <si>
    <t>GGG</t>
  </si>
  <si>
    <t>AL2M-B7</t>
  </si>
  <si>
    <t>12'-11” x 38'-4” x 11'-1"</t>
  </si>
  <si>
    <t>128</t>
  </si>
  <si>
    <t>M299</t>
  </si>
  <si>
    <t>AL3M-B7</t>
  </si>
  <si>
    <t>129</t>
  </si>
  <si>
    <t>M319</t>
  </si>
  <si>
    <t>AL4M-B7</t>
  </si>
  <si>
    <t>130</t>
  </si>
  <si>
    <t>M339</t>
  </si>
  <si>
    <t>AL5M-B7</t>
  </si>
  <si>
    <t>131</t>
  </si>
  <si>
    <t>M359</t>
  </si>
  <si>
    <t>AL6M-B7</t>
  </si>
  <si>
    <t>132</t>
  </si>
  <si>
    <t>M376</t>
  </si>
  <si>
    <t>AL7M-B7</t>
  </si>
  <si>
    <t>133</t>
  </si>
  <si>
    <t>M267</t>
  </si>
  <si>
    <t>CCC</t>
  </si>
  <si>
    <t>W2M-B6</t>
  </si>
  <si>
    <t>12'-11" x 37'-5” x 10'-12"</t>
  </si>
  <si>
    <t>134</t>
  </si>
  <si>
    <t>9/8/26</t>
  </si>
  <si>
    <t>M284</t>
  </si>
  <si>
    <t>W3M-B6</t>
  </si>
  <si>
    <t>135</t>
  </si>
  <si>
    <t>9/9/26</t>
  </si>
  <si>
    <t>M304</t>
  </si>
  <si>
    <t>W4M-B6</t>
  </si>
  <si>
    <t>136</t>
  </si>
  <si>
    <t>9/10/26</t>
  </si>
  <si>
    <t>M324</t>
  </si>
  <si>
    <t>W5M-B6</t>
  </si>
  <si>
    <t>137</t>
  </si>
  <si>
    <t>M344</t>
  </si>
  <si>
    <t>W6M-B6</t>
  </si>
  <si>
    <t>138</t>
  </si>
  <si>
    <t>9/11/26</t>
  </si>
  <si>
    <t>M361</t>
  </si>
  <si>
    <t>W7M-B6</t>
  </si>
  <si>
    <t>139</t>
  </si>
  <si>
    <t>9/15/26</t>
  </si>
  <si>
    <t>M268</t>
  </si>
  <si>
    <t>DDD</t>
  </si>
  <si>
    <t>X2M-KB8</t>
  </si>
  <si>
    <t>15'-4” x 37'-5” x 11’-1"</t>
  </si>
  <si>
    <t>140</t>
  </si>
  <si>
    <t>9/16/26</t>
  </si>
  <si>
    <t>M285</t>
  </si>
  <si>
    <t>X3M-KB8</t>
  </si>
  <si>
    <t>141</t>
  </si>
  <si>
    <t>M305</t>
  </si>
  <si>
    <t>X4M-KB8</t>
  </si>
  <si>
    <t>142</t>
  </si>
  <si>
    <t>M325</t>
  </si>
  <si>
    <t>X5M-KB8</t>
  </si>
  <si>
    <t>143</t>
  </si>
  <si>
    <t>M345</t>
  </si>
  <si>
    <t>X6M-KB8</t>
  </si>
  <si>
    <t>144</t>
  </si>
  <si>
    <t>M362</t>
  </si>
  <si>
    <t>X7M-KB8</t>
  </si>
  <si>
    <t>145</t>
  </si>
  <si>
    <t>M250</t>
  </si>
  <si>
    <t>R</t>
  </si>
  <si>
    <t>W1M-M1</t>
  </si>
  <si>
    <t>146</t>
  </si>
  <si>
    <t>M251</t>
  </si>
  <si>
    <t>S</t>
  </si>
  <si>
    <t>X1M-T1</t>
  </si>
  <si>
    <t>147</t>
  </si>
  <si>
    <t>M263</t>
  </si>
  <si>
    <t>V</t>
  </si>
  <si>
    <t>AJ1M-L1</t>
  </si>
  <si>
    <t>148</t>
  </si>
  <si>
    <t>M264</t>
  </si>
  <si>
    <t>W</t>
  </si>
  <si>
    <t>AK1M-L2</t>
  </si>
  <si>
    <t>149</t>
  </si>
  <si>
    <t>M265</t>
  </si>
  <si>
    <t>X</t>
  </si>
  <si>
    <t>AL1M-P1</t>
  </si>
  <si>
    <t>150</t>
  </si>
  <si>
    <t>M266</t>
  </si>
  <si>
    <t>Y</t>
  </si>
  <si>
    <t>AM1M-P2</t>
  </si>
  <si>
    <t>151</t>
  </si>
  <si>
    <t>M378</t>
  </si>
  <si>
    <t>CCCC</t>
  </si>
  <si>
    <t>BD1M-S4</t>
  </si>
  <si>
    <t>152</t>
  </si>
  <si>
    <t>M394</t>
  </si>
  <si>
    <t>BBBB</t>
  </si>
  <si>
    <t>BD2M-S4W</t>
  </si>
  <si>
    <t>153</t>
  </si>
  <si>
    <t>M412</t>
  </si>
  <si>
    <t>BD3M-S4W</t>
  </si>
  <si>
    <t>154</t>
  </si>
  <si>
    <t>M430</t>
  </si>
  <si>
    <t>BD4M-S4W</t>
  </si>
  <si>
    <t>155</t>
  </si>
  <si>
    <t>M448</t>
  </si>
  <si>
    <t>BD5M-S4W</t>
  </si>
  <si>
    <t>156</t>
  </si>
  <si>
    <t>M466</t>
  </si>
  <si>
    <t>BD6M-S4W</t>
  </si>
  <si>
    <t>157</t>
  </si>
  <si>
    <t>M484</t>
  </si>
  <si>
    <t>BD7M-S4W</t>
  </si>
  <si>
    <t>158</t>
  </si>
  <si>
    <t>M380</t>
  </si>
  <si>
    <t>BB1M-S3</t>
  </si>
  <si>
    <t>159</t>
  </si>
  <si>
    <t>M396</t>
  </si>
  <si>
    <t>BB2M-S3</t>
  </si>
  <si>
    <t>160</t>
  </si>
  <si>
    <t>M414</t>
  </si>
  <si>
    <t>BB3M-S3</t>
  </si>
  <si>
    <t>161</t>
  </si>
  <si>
    <t>M432</t>
  </si>
  <si>
    <t>BB4M-S3</t>
  </si>
  <si>
    <t>162</t>
  </si>
  <si>
    <t>M450</t>
  </si>
  <si>
    <t>BB5M-S3</t>
  </si>
  <si>
    <t>163</t>
  </si>
  <si>
    <t>M468</t>
  </si>
  <si>
    <t>BB6M-S3</t>
  </si>
  <si>
    <t>164</t>
  </si>
  <si>
    <t>M379</t>
  </si>
  <si>
    <t>AA</t>
  </si>
  <si>
    <t>BC1M-KB7</t>
  </si>
  <si>
    <t>165</t>
  </si>
  <si>
    <t>M395</t>
  </si>
  <si>
    <t>BC2M-KB7</t>
  </si>
  <si>
    <t>166</t>
  </si>
  <si>
    <t>M413</t>
  </si>
  <si>
    <t>BC3M-KB7</t>
  </si>
  <si>
    <t>167</t>
  </si>
  <si>
    <t>M431</t>
  </si>
  <si>
    <t>BC4M-KB7</t>
  </si>
  <si>
    <t>168</t>
  </si>
  <si>
    <t>M449</t>
  </si>
  <si>
    <t>BC5M-KB7</t>
  </si>
  <si>
    <t>169</t>
  </si>
  <si>
    <t>M467</t>
  </si>
  <si>
    <t>BC6M-KB7</t>
  </si>
  <si>
    <t>170</t>
  </si>
  <si>
    <t>M485</t>
  </si>
  <si>
    <t>BC7M-KB7</t>
  </si>
  <si>
    <t>171</t>
  </si>
  <si>
    <t>M381</t>
  </si>
  <si>
    <t>BA1M-KB7</t>
  </si>
  <si>
    <t>172</t>
  </si>
  <si>
    <t>M397</t>
  </si>
  <si>
    <t>BA2M-KB7</t>
  </si>
  <si>
    <t>173</t>
  </si>
  <si>
    <t>M415</t>
  </si>
  <si>
    <t>BA3M-KB7</t>
  </si>
  <si>
    <t>174</t>
  </si>
  <si>
    <t>M433</t>
  </si>
  <si>
    <t>BA4M-KB7</t>
  </si>
  <si>
    <t>175</t>
  </si>
  <si>
    <t>M451</t>
  </si>
  <si>
    <t>BA5M-KB7</t>
  </si>
  <si>
    <t>176</t>
  </si>
  <si>
    <t>M469</t>
  </si>
  <si>
    <t>BA6M-KB7</t>
  </si>
  <si>
    <t>177</t>
  </si>
  <si>
    <t>M382</t>
  </si>
  <si>
    <t>CC</t>
  </si>
  <si>
    <t>AZ1M-KB17</t>
  </si>
  <si>
    <t>15'-10" x 48'-9” x 11'-1"</t>
  </si>
  <si>
    <t>178</t>
  </si>
  <si>
    <t>M398</t>
  </si>
  <si>
    <t>III</t>
  </si>
  <si>
    <t>AZ2M-KB17W</t>
  </si>
  <si>
    <t>179</t>
  </si>
  <si>
    <t>M416</t>
  </si>
  <si>
    <t>AZ3M-KB17W</t>
  </si>
  <si>
    <t>180</t>
  </si>
  <si>
    <t>M434</t>
  </si>
  <si>
    <t>AZ4M-KB17W</t>
  </si>
  <si>
    <t>181</t>
  </si>
  <si>
    <t>M452</t>
  </si>
  <si>
    <t>AZ5M-KB17W</t>
  </si>
  <si>
    <t>182</t>
  </si>
  <si>
    <t>M470</t>
  </si>
  <si>
    <t>AZ6M-KB17W</t>
  </si>
  <si>
    <t>183</t>
  </si>
  <si>
    <t>M488</t>
  </si>
  <si>
    <t>AZ7M-KB17W</t>
  </si>
  <si>
    <t>184</t>
  </si>
  <si>
    <t>M384</t>
  </si>
  <si>
    <t>DDm</t>
  </si>
  <si>
    <t>AX1M-KB5</t>
  </si>
  <si>
    <t>185</t>
  </si>
  <si>
    <t>M400</t>
  </si>
  <si>
    <t>JJJm</t>
  </si>
  <si>
    <t>AX2M-KB5W</t>
  </si>
  <si>
    <t>186</t>
  </si>
  <si>
    <t>M418</t>
  </si>
  <si>
    <t>AX3M-KB5W</t>
  </si>
  <si>
    <t>M436</t>
  </si>
  <si>
    <t>AX4M-KB5W</t>
  </si>
  <si>
    <t>M454</t>
  </si>
  <si>
    <t>AX5M-KB5W</t>
  </si>
  <si>
    <t>M472</t>
  </si>
  <si>
    <t>AX6M-KB5W</t>
  </si>
  <si>
    <t>M490</t>
  </si>
  <si>
    <t>AX7M-KB5W</t>
  </si>
  <si>
    <t>M386</t>
  </si>
  <si>
    <t>AV1M-KB5</t>
  </si>
  <si>
    <t>M402</t>
  </si>
  <si>
    <t>AV2M-KB5W</t>
  </si>
  <si>
    <t>M420</t>
  </si>
  <si>
    <t>AV3M-KB5W</t>
  </si>
  <si>
    <t>M438</t>
  </si>
  <si>
    <t>AV4M-KB5W</t>
  </si>
  <si>
    <t>M456</t>
  </si>
  <si>
    <t>AV5M-KB5W</t>
  </si>
  <si>
    <t>M474</t>
  </si>
  <si>
    <t>AV6M-KB5W</t>
  </si>
  <si>
    <t>M492</t>
  </si>
  <si>
    <t>AV7M-KB5W</t>
  </si>
  <si>
    <t>M388</t>
  </si>
  <si>
    <t>JJJJ</t>
  </si>
  <si>
    <t>AT1M-KB15</t>
  </si>
  <si>
    <t>M404</t>
  </si>
  <si>
    <t>IIII</t>
  </si>
  <si>
    <t>AT2M-KB15W</t>
  </si>
  <si>
    <t>M422</t>
  </si>
  <si>
    <t>AT3M-KB15W</t>
  </si>
  <si>
    <t>M440</t>
  </si>
  <si>
    <t>AT4M-KB15W</t>
  </si>
  <si>
    <t>M458</t>
  </si>
  <si>
    <t>AT5M-KB15W</t>
  </si>
  <si>
    <t>M476</t>
  </si>
  <si>
    <t>AT6M-KB15W</t>
  </si>
  <si>
    <t>M494</t>
  </si>
  <si>
    <t>AT7M-KB15W</t>
  </si>
  <si>
    <t>M406</t>
  </si>
  <si>
    <t>AR2M-KB5W</t>
  </si>
  <si>
    <t>M478</t>
  </si>
  <si>
    <t>AR6M-KB5W</t>
  </si>
  <si>
    <t>M496</t>
  </si>
  <si>
    <t>AR7M-KB5W</t>
  </si>
  <si>
    <t>M383</t>
  </si>
  <si>
    <t>DD</t>
  </si>
  <si>
    <t>AY1M-KB6</t>
  </si>
  <si>
    <t>M399</t>
  </si>
  <si>
    <t>JJJ</t>
  </si>
  <si>
    <t>AY2M-KB6W</t>
  </si>
  <si>
    <t>M417</t>
  </si>
  <si>
    <t>AY3M-KB6W</t>
  </si>
  <si>
    <t>M435</t>
  </si>
  <si>
    <t>AY4M-KB6W</t>
  </si>
  <si>
    <t>M453</t>
  </si>
  <si>
    <t>AY5M-KB6W</t>
  </si>
  <si>
    <t>M471</t>
  </si>
  <si>
    <t>AY6M-KB6W</t>
  </si>
  <si>
    <t>M489</t>
  </si>
  <si>
    <t>AY7M-KB6W</t>
  </si>
  <si>
    <t>M385</t>
  </si>
  <si>
    <t>FFFF</t>
  </si>
  <si>
    <t>AW1M-KB16</t>
  </si>
  <si>
    <t>M401</t>
  </si>
  <si>
    <t>EEEE</t>
  </si>
  <si>
    <t>AW2M-KB16W</t>
  </si>
  <si>
    <t>M419</t>
  </si>
  <si>
    <t>AW3M-KB16W</t>
  </si>
  <si>
    <t>M437</t>
  </si>
  <si>
    <t>AW4M-KB16W</t>
  </si>
  <si>
    <t>M455</t>
  </si>
  <si>
    <t>AW5M-KB16W</t>
  </si>
  <si>
    <t>M473</t>
  </si>
  <si>
    <t>AW6M-KB16W</t>
  </si>
  <si>
    <t>M491</t>
  </si>
  <si>
    <t>AW7M-KB16W</t>
  </si>
  <si>
    <t>M387</t>
  </si>
  <si>
    <t>AU1M-KB6</t>
  </si>
  <si>
    <t>M403</t>
  </si>
  <si>
    <t>AU2M-KB6W</t>
  </si>
  <si>
    <t>M421</t>
  </si>
  <si>
    <t>AU3M-KB6W</t>
  </si>
  <si>
    <t>M439</t>
  </si>
  <si>
    <t>AU4M-KB6W</t>
  </si>
  <si>
    <t>M457</t>
  </si>
  <si>
    <t>AU5M-KB6W</t>
  </si>
  <si>
    <t>M475</t>
  </si>
  <si>
    <t>AU6M-KB6W</t>
  </si>
  <si>
    <t>M493</t>
  </si>
  <si>
    <t>AU7M-KB6W</t>
  </si>
  <si>
    <t>M405</t>
  </si>
  <si>
    <t>AS2M-KB6W</t>
  </si>
  <si>
    <t>M477</t>
  </si>
  <si>
    <t>AS6M-KB6W</t>
  </si>
  <si>
    <t>M495</t>
  </si>
  <si>
    <t>AS7M-KB6W</t>
  </si>
  <si>
    <t>M407</t>
  </si>
  <si>
    <t>DDDD</t>
  </si>
  <si>
    <t>AQ2M-KB12</t>
  </si>
  <si>
    <t>M497</t>
  </si>
  <si>
    <t>AQ7M-KB14</t>
  </si>
  <si>
    <t>M393</t>
  </si>
  <si>
    <t>BE2M-B5</t>
  </si>
  <si>
    <t>14'-10" x 42'-8" x 11'-1"</t>
  </si>
  <si>
    <t>M411</t>
  </si>
  <si>
    <t>BE3M-B5</t>
  </si>
  <si>
    <t>M429</t>
  </si>
  <si>
    <t>BE4M-B5</t>
  </si>
  <si>
    <t>M447</t>
  </si>
  <si>
    <t>BE5M-B5</t>
  </si>
  <si>
    <t>M465</t>
  </si>
  <si>
    <t>BE6M-B5</t>
  </si>
  <si>
    <t>M483</t>
  </si>
  <si>
    <t>BE7M-B5</t>
  </si>
  <si>
    <t>M392</t>
  </si>
  <si>
    <t>LLLL</t>
  </si>
  <si>
    <t>BF2M-KB13</t>
  </si>
  <si>
    <t>M410</t>
  </si>
  <si>
    <t>BF3M-KB13W</t>
  </si>
  <si>
    <t>M428</t>
  </si>
  <si>
    <t>BF4M-KB13W</t>
  </si>
  <si>
    <t>M446</t>
  </si>
  <si>
    <t>BF5M-KB13W</t>
  </si>
  <si>
    <t>M464</t>
  </si>
  <si>
    <t>BF6M-KB13W</t>
  </si>
  <si>
    <t>M482</t>
  </si>
  <si>
    <t>BF7M-KB13W</t>
  </si>
  <si>
    <t>M408</t>
  </si>
  <si>
    <t>DB2M-S4W</t>
  </si>
  <si>
    <t>M426</t>
  </si>
  <si>
    <t>DB3M-S4W</t>
  </si>
  <si>
    <t>M444</t>
  </si>
  <si>
    <t>DB4M-S4W</t>
  </si>
  <si>
    <t>M462</t>
  </si>
  <si>
    <t>DB5M-S4W</t>
  </si>
  <si>
    <t>M480</t>
  </si>
  <si>
    <t>DB6M-S4W</t>
  </si>
  <si>
    <t>M498</t>
  </si>
  <si>
    <t>DB7M-S4W</t>
  </si>
  <si>
    <t>M409</t>
  </si>
  <si>
    <t>ZZZ</t>
  </si>
  <si>
    <t>DA2M-K8</t>
  </si>
  <si>
    <t>M427</t>
  </si>
  <si>
    <t>DA3M-K8</t>
  </si>
  <si>
    <t>M445</t>
  </si>
  <si>
    <t>DA4M-K8</t>
  </si>
  <si>
    <t>M463</t>
  </si>
  <si>
    <t>DA5M-K8</t>
  </si>
  <si>
    <t>M481</t>
  </si>
  <si>
    <t>DA6M-K8</t>
  </si>
  <si>
    <t>M499</t>
  </si>
  <si>
    <t>DA7M-K8</t>
  </si>
  <si>
    <t>M390</t>
  </si>
  <si>
    <t>FF</t>
  </si>
  <si>
    <t>AR1M-DW1</t>
  </si>
  <si>
    <t>M391</t>
  </si>
  <si>
    <t>GG</t>
  </si>
  <si>
    <t>AQ1M-LA1</t>
  </si>
  <si>
    <t>M389</t>
  </si>
  <si>
    <t>EE</t>
  </si>
  <si>
    <t>AS1M-MM1</t>
  </si>
  <si>
    <t>M425</t>
  </si>
  <si>
    <t>TTT</t>
  </si>
  <si>
    <t>AQ3M-H1</t>
  </si>
  <si>
    <t>M443</t>
  </si>
  <si>
    <t>AQ4M-H1</t>
  </si>
  <si>
    <t>M461</t>
  </si>
  <si>
    <t>AQ5M-H1</t>
  </si>
  <si>
    <t>M479</t>
  </si>
  <si>
    <t>AQ6M-H1</t>
  </si>
  <si>
    <t>M423</t>
  </si>
  <si>
    <t>RRR</t>
  </si>
  <si>
    <t>AS3M-L4</t>
  </si>
  <si>
    <t>M441</t>
  </si>
  <si>
    <t>AS4M-L4</t>
  </si>
  <si>
    <t>11/3/26</t>
  </si>
  <si>
    <t>M459</t>
  </si>
  <si>
    <t>AS5M-L4</t>
  </si>
  <si>
    <t>M424</t>
  </si>
  <si>
    <t>SSS</t>
  </si>
  <si>
    <t>AR3M-L3</t>
  </si>
  <si>
    <t>M442</t>
  </si>
  <si>
    <t>AR4M-L3</t>
  </si>
  <si>
    <t>11/4/26</t>
  </si>
  <si>
    <t>M460</t>
  </si>
  <si>
    <t>AR5M-L3</t>
  </si>
  <si>
    <t>M5</t>
  </si>
  <si>
    <t>LL</t>
  </si>
  <si>
    <t>CC1M-BKR1</t>
  </si>
  <si>
    <t>15'-10'' x 49'-3'' x 11'-1''</t>
  </si>
  <si>
    <t>M19</t>
  </si>
  <si>
    <t>CC2M-BKR1</t>
  </si>
  <si>
    <t>11/5/26</t>
  </si>
  <si>
    <t>M33</t>
  </si>
  <si>
    <t>CC3M-BKR1</t>
  </si>
  <si>
    <t>M47</t>
  </si>
  <si>
    <t>CC4M-BKR1</t>
  </si>
  <si>
    <t>M61</t>
  </si>
  <si>
    <t>CC5M-BKR1</t>
  </si>
  <si>
    <t>11/6/26</t>
  </si>
  <si>
    <t>M75</t>
  </si>
  <si>
    <t>CC6M-BKR1</t>
  </si>
  <si>
    <t>M89</t>
  </si>
  <si>
    <t>CC7M-BKR1</t>
  </si>
  <si>
    <t>M13</t>
  </si>
  <si>
    <t>MMMM</t>
  </si>
  <si>
    <t>CJ1M-BKR2</t>
  </si>
  <si>
    <t>11/9/26</t>
  </si>
  <si>
    <t>M27</t>
  </si>
  <si>
    <t>SS</t>
  </si>
  <si>
    <t>CJ2M-BKR3</t>
  </si>
  <si>
    <t>M41</t>
  </si>
  <si>
    <t>CJ3M-BKR3</t>
  </si>
  <si>
    <t>M55</t>
  </si>
  <si>
    <t>CJ4M-BKR3</t>
  </si>
  <si>
    <t>11/10/26</t>
  </si>
  <si>
    <t>M69</t>
  </si>
  <si>
    <t>CJ5M-BKR3</t>
  </si>
  <si>
    <t>M83</t>
  </si>
  <si>
    <t>CJ6M-BKR3</t>
  </si>
  <si>
    <t>M6</t>
  </si>
  <si>
    <t>MM</t>
  </si>
  <si>
    <t>CD1M-1BKL</t>
  </si>
  <si>
    <t>11/11/26</t>
  </si>
  <si>
    <t>M20</t>
  </si>
  <si>
    <t>CD2M-1BKL</t>
  </si>
  <si>
    <t>M34</t>
  </si>
  <si>
    <t>CD3M-1BKL</t>
  </si>
  <si>
    <t>M48</t>
  </si>
  <si>
    <t>CD4M-1BKL</t>
  </si>
  <si>
    <t>11/12/26</t>
  </si>
  <si>
    <t>M62</t>
  </si>
  <si>
    <t>CD5M-1BKL</t>
  </si>
  <si>
    <t>M76</t>
  </si>
  <si>
    <t>CD6M-1BKL</t>
  </si>
  <si>
    <t>M90</t>
  </si>
  <si>
    <t>CD7M-1BKL</t>
  </si>
  <si>
    <t>11/13/26</t>
  </si>
  <si>
    <t>M12</t>
  </si>
  <si>
    <t>RR</t>
  </si>
  <si>
    <t>CI1M-2BKL</t>
  </si>
  <si>
    <t>M26</t>
  </si>
  <si>
    <t>CI2M-2BKL</t>
  </si>
  <si>
    <t>M40</t>
  </si>
  <si>
    <t>CI3M-2BKL</t>
  </si>
  <si>
    <t>11/16/26</t>
  </si>
  <si>
    <t>M54</t>
  </si>
  <si>
    <t>CI4M-2BKL</t>
  </si>
  <si>
    <t>M68</t>
  </si>
  <si>
    <t>CI5M-2BKL</t>
  </si>
  <si>
    <t>M82</t>
  </si>
  <si>
    <t>CI6M-2BKL</t>
  </si>
  <si>
    <t>11/17/26</t>
  </si>
  <si>
    <t>M14</t>
  </si>
  <si>
    <t>CK1M-1BKL</t>
  </si>
  <si>
    <t>M28</t>
  </si>
  <si>
    <t>CK2M-BKL3</t>
  </si>
  <si>
    <t>M42</t>
  </si>
  <si>
    <t>CK3M-1BKL</t>
  </si>
  <si>
    <t>11/18/26</t>
  </si>
  <si>
    <t>M70</t>
  </si>
  <si>
    <t>CK5M-1BKL</t>
  </si>
  <si>
    <t>M84</t>
  </si>
  <si>
    <t>CK6M-1BKL</t>
  </si>
  <si>
    <t>M11</t>
  </si>
  <si>
    <t>QQ</t>
  </si>
  <si>
    <t>CH1M-K9</t>
  </si>
  <si>
    <t>11/19/26</t>
  </si>
  <si>
    <t>M25</t>
  </si>
  <si>
    <t>CH2M-K9</t>
  </si>
  <si>
    <t>M39</t>
  </si>
  <si>
    <t>CH3M-K9</t>
  </si>
  <si>
    <t>M53</t>
  </si>
  <si>
    <t>CH4M-K9</t>
  </si>
  <si>
    <t>11/23/26</t>
  </si>
  <si>
    <t>M67</t>
  </si>
  <si>
    <t>CH5M-K9</t>
  </si>
  <si>
    <t>M81</t>
  </si>
  <si>
    <t>CH6M-K9</t>
  </si>
  <si>
    <t>M56</t>
  </si>
  <si>
    <t>CK4M-1BKL</t>
  </si>
  <si>
    <t>11/24/26</t>
  </si>
  <si>
    <t>M10</t>
  </si>
  <si>
    <t>CG1M-2RB</t>
  </si>
  <si>
    <t>M24</t>
  </si>
  <si>
    <t>CG2M-2RB1</t>
  </si>
  <si>
    <t>M38</t>
  </si>
  <si>
    <t>CG3M-2RB2</t>
  </si>
  <si>
    <t>11/25/26</t>
  </si>
  <si>
    <t>M52</t>
  </si>
  <si>
    <t>CG4M-2RB2</t>
  </si>
  <si>
    <t>M66</t>
  </si>
  <si>
    <t>CG5M-2RB2</t>
  </si>
  <si>
    <t>M80</t>
  </si>
  <si>
    <t>CG6M-2RB2</t>
  </si>
  <si>
    <t>11/26/26</t>
  </si>
  <si>
    <t>M21</t>
  </si>
  <si>
    <t>LLLm</t>
  </si>
  <si>
    <t>CE2M-BKS2</t>
  </si>
  <si>
    <t>15'-10'' x 45'-11'' x 11'-1''</t>
  </si>
  <si>
    <t>M35</t>
  </si>
  <si>
    <t>CE3M-BKS3</t>
  </si>
  <si>
    <t>M49</t>
  </si>
  <si>
    <t>CE4M-BKS3</t>
  </si>
  <si>
    <t>11/27/26</t>
  </si>
  <si>
    <t>M63</t>
  </si>
  <si>
    <t>CE5M-BKS3</t>
  </si>
  <si>
    <t>M77</t>
  </si>
  <si>
    <t>CE6M-BKS3</t>
  </si>
  <si>
    <t>M91</t>
  </si>
  <si>
    <t>CE7M-BKS3</t>
  </si>
  <si>
    <t>11/30/26</t>
  </si>
  <si>
    <t>M29</t>
  </si>
  <si>
    <t>CL2M-BKS2</t>
  </si>
  <si>
    <t>M43</t>
  </si>
  <si>
    <t>CL3M-BKS2</t>
  </si>
  <si>
    <t>M57</t>
  </si>
  <si>
    <t>CL4M-BKS2</t>
  </si>
  <si>
    <t>M71</t>
  </si>
  <si>
    <t>CL5M-BKS2</t>
  </si>
  <si>
    <t>M85</t>
  </si>
  <si>
    <t>CL6M-BKS2</t>
  </si>
  <si>
    <t>M18</t>
  </si>
  <si>
    <t>LLL</t>
  </si>
  <si>
    <t>CB2M-BKS1</t>
  </si>
  <si>
    <t>Revise and Resubmit</t>
  </si>
  <si>
    <t>12/1/26</t>
  </si>
  <si>
    <t>M32</t>
  </si>
  <si>
    <t>CB3M-BKS1</t>
  </si>
  <si>
    <t>12/2/26</t>
  </si>
  <si>
    <t>M46</t>
  </si>
  <si>
    <t>NNNN</t>
  </si>
  <si>
    <t>CB4M-BKS1</t>
  </si>
  <si>
    <t>12/3/26</t>
  </si>
  <si>
    <t>M60</t>
  </si>
  <si>
    <t>CB5M-BKS1</t>
  </si>
  <si>
    <t>12/4/26</t>
  </si>
  <si>
    <t>M74</t>
  </si>
  <si>
    <t>CB6M-BKS1</t>
  </si>
  <si>
    <t>12/7/26</t>
  </si>
  <si>
    <t>M88</t>
  </si>
  <si>
    <t>CB7M-BKS1</t>
  </si>
  <si>
    <t>12/8/26</t>
  </si>
  <si>
    <t>M22</t>
  </si>
  <si>
    <t>MMM</t>
  </si>
  <si>
    <t>CF2M-3RR</t>
  </si>
  <si>
    <t>14'-10'' x 45'-11'' x 11'-1''</t>
  </si>
  <si>
    <t>12/9/26</t>
  </si>
  <si>
    <t>M36</t>
  </si>
  <si>
    <t>CF3M-3RR</t>
  </si>
  <si>
    <t>12/10/26</t>
  </si>
  <si>
    <t>M50</t>
  </si>
  <si>
    <t>CF4M-3RR</t>
  </si>
  <si>
    <t>12/11/26</t>
  </si>
  <si>
    <t>M64</t>
  </si>
  <si>
    <t>CF5M-3RR</t>
  </si>
  <si>
    <t>12/14/26</t>
  </si>
  <si>
    <t>M78</t>
  </si>
  <si>
    <t>CF6M-3RR</t>
  </si>
  <si>
    <t>12/15/26</t>
  </si>
  <si>
    <t>M92</t>
  </si>
  <si>
    <t>CF7M-3RR</t>
  </si>
  <si>
    <t>12/16/26</t>
  </si>
  <si>
    <t>M30</t>
  </si>
  <si>
    <t>KKKm</t>
  </si>
  <si>
    <t>CM2M-3RR1</t>
  </si>
  <si>
    <t>M44</t>
  </si>
  <si>
    <t>CM3M-3RR1</t>
  </si>
  <si>
    <t>M58</t>
  </si>
  <si>
    <t>CM4M-3RR1</t>
  </si>
  <si>
    <t>M72</t>
  </si>
  <si>
    <t>CM5M-3RR1</t>
  </si>
  <si>
    <t>M86</t>
  </si>
  <si>
    <t>CM6M-3RR1</t>
  </si>
  <si>
    <t>M17</t>
  </si>
  <si>
    <t>KKK</t>
  </si>
  <si>
    <t>CA2M-3RL</t>
  </si>
  <si>
    <t>12/17/26</t>
  </si>
  <si>
    <t>M31</t>
  </si>
  <si>
    <t>CA3M-3RL</t>
  </si>
  <si>
    <t>12/18/26</t>
  </si>
  <si>
    <t>M45</t>
  </si>
  <si>
    <t>CA4M-3RL</t>
  </si>
  <si>
    <t>12/21/26</t>
  </si>
  <si>
    <t>M59</t>
  </si>
  <si>
    <t>CA5M-3RL</t>
  </si>
  <si>
    <t>M73</t>
  </si>
  <si>
    <t>CA6M-3RL</t>
  </si>
  <si>
    <t>12/22/26</t>
  </si>
  <si>
    <t>M87</t>
  </si>
  <si>
    <t>CA7M-3RL</t>
  </si>
  <si>
    <t>M9</t>
  </si>
  <si>
    <t>CFA1M-H2</t>
  </si>
  <si>
    <t>11'-7'' x 12'-9'' x 11'-1''</t>
  </si>
  <si>
    <t>M23</t>
  </si>
  <si>
    <t>CFA2M-H3</t>
  </si>
  <si>
    <t>M37</t>
  </si>
  <si>
    <t>CFA3M-H4</t>
  </si>
  <si>
    <t>M51</t>
  </si>
  <si>
    <t>CFA4M-H4</t>
  </si>
  <si>
    <t>M65</t>
  </si>
  <si>
    <t>CFA5M-H4</t>
  </si>
  <si>
    <t>M79</t>
  </si>
  <si>
    <t>CFA6M-H4</t>
  </si>
  <si>
    <t>M93</t>
  </si>
  <si>
    <t>CFA7M-H4</t>
  </si>
  <si>
    <t>M1</t>
  </si>
  <si>
    <t>HH</t>
  </si>
  <si>
    <t>DB1M-LH2</t>
  </si>
  <si>
    <t>12'-11” x 37'-7” x 11’-1"</t>
  </si>
  <si>
    <t>12/28/26</t>
  </si>
  <si>
    <t>M2</t>
  </si>
  <si>
    <t>II</t>
  </si>
  <si>
    <t>DA1M-LH1</t>
  </si>
  <si>
    <t>M3</t>
  </si>
  <si>
    <t>JJ</t>
  </si>
  <si>
    <t>CA1M-E3</t>
  </si>
  <si>
    <t>12/29/26</t>
  </si>
  <si>
    <t>M4</t>
  </si>
  <si>
    <t>KK</t>
  </si>
  <si>
    <t>CB1M-C1</t>
  </si>
  <si>
    <t>M7</t>
  </si>
  <si>
    <t>NN</t>
  </si>
  <si>
    <t>CE1M-A1</t>
  </si>
  <si>
    <t>12/30/26</t>
  </si>
  <si>
    <t>M8</t>
  </si>
  <si>
    <t>OO</t>
  </si>
  <si>
    <t>CF1M-A2</t>
  </si>
  <si>
    <t>M15</t>
  </si>
  <si>
    <t>TT</t>
  </si>
  <si>
    <t>CL1M-C2</t>
  </si>
  <si>
    <t>M16</t>
  </si>
  <si>
    <t>UU</t>
  </si>
  <si>
    <t>CM1M-E4</t>
  </si>
  <si>
    <t>M100</t>
  </si>
  <si>
    <t>GGGG</t>
  </si>
  <si>
    <t>E1M-S1M-K3</t>
  </si>
  <si>
    <t>12'-11” x 68’-1" x 11’-1"</t>
  </si>
  <si>
    <t>M122</t>
  </si>
  <si>
    <t>E2M-S1M-K3</t>
  </si>
  <si>
    <t>In Review</t>
  </si>
  <si>
    <t>M144</t>
  </si>
  <si>
    <t>E3M-S1M-K3</t>
  </si>
  <si>
    <t>M166</t>
  </si>
  <si>
    <t>E4M-S1M-K3</t>
  </si>
  <si>
    <t>M188</t>
  </si>
  <si>
    <t>E5M-S1M-K3</t>
  </si>
  <si>
    <t>M210</t>
  </si>
  <si>
    <t>E6M-S1M-K3</t>
  </si>
  <si>
    <t>M232</t>
  </si>
  <si>
    <t>E7M-S1M-K3</t>
  </si>
  <si>
    <t>M110</t>
  </si>
  <si>
    <t>N</t>
  </si>
  <si>
    <t>O1M-S4M-KB1</t>
  </si>
  <si>
    <t>M132</t>
  </si>
  <si>
    <t>BBB</t>
  </si>
  <si>
    <t>O2M-S4WM-KB1</t>
  </si>
  <si>
    <t>M154</t>
  </si>
  <si>
    <t>O3M-S4WM-KB1</t>
  </si>
  <si>
    <t>M176</t>
  </si>
  <si>
    <t>O4M-S4WM-KB1</t>
  </si>
  <si>
    <t>M198</t>
  </si>
  <si>
    <t>O5M-S4WM-KB1</t>
  </si>
  <si>
    <t>M220</t>
  </si>
  <si>
    <t>O6M-S4WM-KB1</t>
  </si>
  <si>
    <t>M242</t>
  </si>
  <si>
    <t>O7M-S4WM-KB1</t>
  </si>
  <si>
    <t>M112</t>
  </si>
  <si>
    <t>D</t>
  </si>
  <si>
    <t>K1M-S3M-KB1</t>
  </si>
  <si>
    <t>M134</t>
  </si>
  <si>
    <t>WW</t>
  </si>
  <si>
    <t>K2M-S3M-KB1</t>
  </si>
  <si>
    <t>M156</t>
  </si>
  <si>
    <t>K3M-S3M-KB1</t>
  </si>
  <si>
    <t>M178</t>
  </si>
  <si>
    <t>K4M-S3M-KB1</t>
  </si>
  <si>
    <t>M200</t>
  </si>
  <si>
    <t>K5M-S3M-KB1</t>
  </si>
  <si>
    <t>M222</t>
  </si>
  <si>
    <t>K6M-S3M-KB1</t>
  </si>
  <si>
    <t>M244</t>
  </si>
  <si>
    <t>K7M-S3M-KB1</t>
  </si>
  <si>
    <t>M114</t>
  </si>
  <si>
    <t>HHHH</t>
  </si>
  <si>
    <t>S1M-S4M-KB1</t>
  </si>
  <si>
    <t>M136</t>
  </si>
  <si>
    <t>S2M-S4WM-KB1</t>
  </si>
  <si>
    <t>M158</t>
  </si>
  <si>
    <t>S3M-S4WM-KB1</t>
  </si>
  <si>
    <t>M180</t>
  </si>
  <si>
    <t>S4M-S4WM-KB1</t>
  </si>
  <si>
    <t>M202</t>
  </si>
  <si>
    <t>S5M-S4WM-KB1</t>
  </si>
  <si>
    <t>M224</t>
  </si>
  <si>
    <t>S6M-S4WM-KB1</t>
  </si>
  <si>
    <t>M246</t>
  </si>
  <si>
    <t>S7M-S4WM-KB1</t>
  </si>
  <si>
    <t>6/1/26</t>
  </si>
  <si>
    <t>M101</t>
  </si>
  <si>
    <t>E</t>
  </si>
  <si>
    <t>F1M-B3M-S2</t>
  </si>
  <si>
    <t>M123</t>
  </si>
  <si>
    <t>WWW</t>
  </si>
  <si>
    <t>F2M-B3M-S2</t>
  </si>
  <si>
    <t>6/2/26</t>
  </si>
  <si>
    <t>M145</t>
  </si>
  <si>
    <t>F3M-B3M-S2</t>
  </si>
  <si>
    <t>M167</t>
  </si>
  <si>
    <t>F4M-B3M-S2</t>
  </si>
  <si>
    <t>6/3/26</t>
  </si>
  <si>
    <t>M189</t>
  </si>
  <si>
    <t>F5M-B3M-S2</t>
  </si>
  <si>
    <t>M211</t>
  </si>
  <si>
    <t>F6M-B3M-S2</t>
  </si>
  <si>
    <t>6/4/26</t>
  </si>
  <si>
    <t>M233</t>
  </si>
  <si>
    <t>F7M-B3M-S2</t>
  </si>
  <si>
    <t>M111</t>
  </si>
  <si>
    <t>O</t>
  </si>
  <si>
    <t>P1M-KB1M-S3</t>
  </si>
  <si>
    <t>6/5/26</t>
  </si>
  <si>
    <t>M133</t>
  </si>
  <si>
    <t>XXX</t>
  </si>
  <si>
    <t>P2M-KB1M-S3</t>
  </si>
  <si>
    <t>M155</t>
  </si>
  <si>
    <t>P3M-KB1M-S3</t>
  </si>
  <si>
    <t>M177</t>
  </si>
  <si>
    <t>P4M-KB1M-S3</t>
  </si>
  <si>
    <t>M199</t>
  </si>
  <si>
    <t>P5M-KB1M-S3</t>
  </si>
  <si>
    <t>M221</t>
  </si>
  <si>
    <t>P6M-KB1M-S3</t>
  </si>
  <si>
    <t>M243</t>
  </si>
  <si>
    <t>P7M-KB1M-S3</t>
  </si>
  <si>
    <t>M113</t>
  </si>
  <si>
    <t>R1M-KB1M-S3</t>
  </si>
  <si>
    <t>M135</t>
  </si>
  <si>
    <t>R2M-KB1M-S3</t>
  </si>
  <si>
    <t>M157</t>
  </si>
  <si>
    <t>R3M-KB1M-S3W</t>
  </si>
  <si>
    <t>M179</t>
  </si>
  <si>
    <t>R4M-KB1M-S3</t>
  </si>
  <si>
    <t>M201</t>
  </si>
  <si>
    <t>R5M-KB1M-S3</t>
  </si>
  <si>
    <t>M223</t>
  </si>
  <si>
    <t>R6M-KB1M-S3</t>
  </si>
  <si>
    <t>M245</t>
  </si>
  <si>
    <t>R7M-KB1M-S3</t>
  </si>
  <si>
    <t>M115</t>
  </si>
  <si>
    <t>T1M-KB1M-S3</t>
  </si>
  <si>
    <t>M137</t>
  </si>
  <si>
    <t>T2M-KB1M-S3</t>
  </si>
  <si>
    <t>M159</t>
  </si>
  <si>
    <t>T3M-KB1M-S3</t>
  </si>
  <si>
    <t>M181</t>
  </si>
  <si>
    <t>T4M-KB1M-S3</t>
  </si>
  <si>
    <t>M203</t>
  </si>
  <si>
    <t>T5M-KB1M-S3</t>
  </si>
  <si>
    <t>M225</t>
  </si>
  <si>
    <t>T6M-KB1M-S3</t>
  </si>
  <si>
    <t>M247</t>
  </si>
  <si>
    <t>T7M-KB1M-S3</t>
  </si>
  <si>
    <t>M103</t>
  </si>
  <si>
    <t>G</t>
  </si>
  <si>
    <t>H1M-K5M-B4</t>
  </si>
  <si>
    <t>15'-10" x 68’-1" x 11’-1"</t>
  </si>
  <si>
    <t>M125</t>
  </si>
  <si>
    <t>XX</t>
  </si>
  <si>
    <t>H2M-K5M-B4</t>
  </si>
  <si>
    <t>M147</t>
  </si>
  <si>
    <t>H3M-K5M-B4</t>
  </si>
  <si>
    <t>M169</t>
  </si>
  <si>
    <t>H4M-K5M-B4</t>
  </si>
  <si>
    <t>M191</t>
  </si>
  <si>
    <t>H5M-K5M-B4</t>
  </si>
  <si>
    <t>M213</t>
  </si>
  <si>
    <t>H6M-K5M-B4</t>
  </si>
  <si>
    <t>M235</t>
  </si>
  <si>
    <t>H7M-K5M-B4</t>
  </si>
  <si>
    <t>M254</t>
  </si>
  <si>
    <t>AA1M-S3M-KB1</t>
  </si>
  <si>
    <t>12'-11" x 68'1" x 11’-1"</t>
  </si>
  <si>
    <t>M271</t>
  </si>
  <si>
    <t>AA2M-S3M-KB1</t>
  </si>
  <si>
    <t>M288</t>
  </si>
  <si>
    <t>AA3M-S3M-KB1</t>
  </si>
  <si>
    <t>M308</t>
  </si>
  <si>
    <t>AA4M-S3M-KB1</t>
  </si>
  <si>
    <t>M328</t>
  </si>
  <si>
    <t>AA5M-S3M-KB1</t>
  </si>
  <si>
    <t>M348</t>
  </si>
  <si>
    <t>AA6M-S3M-KB1</t>
  </si>
  <si>
    <t>M365</t>
  </si>
  <si>
    <t>AA7M-S3M-KB1</t>
  </si>
  <si>
    <t>M258</t>
  </si>
  <si>
    <t>AE1M-S3M-KB1</t>
  </si>
  <si>
    <t>M275</t>
  </si>
  <si>
    <t>AE2M-S3M-KB1</t>
  </si>
  <si>
    <t>M292</t>
  </si>
  <si>
    <t>AE3M-S3M-KB1</t>
  </si>
  <si>
    <t>M312</t>
  </si>
  <si>
    <t>AE4M-S3M-KB1</t>
  </si>
  <si>
    <t>M332</t>
  </si>
  <si>
    <t>AE5M-S3M-KB1</t>
  </si>
  <si>
    <t>M352</t>
  </si>
  <si>
    <t>AE6M-S3M-KB1</t>
  </si>
  <si>
    <t>M369</t>
  </si>
  <si>
    <t>AE7M-S3M-KB1</t>
  </si>
  <si>
    <t>M255</t>
  </si>
  <si>
    <t>AB1M-KB1M-S3</t>
  </si>
  <si>
    <t>M272</t>
  </si>
  <si>
    <t>AB2M-KB1M-S3</t>
  </si>
  <si>
    <t>M289</t>
  </si>
  <si>
    <t>AB3M-KB1M-S3</t>
  </si>
  <si>
    <t>M309</t>
  </si>
  <si>
    <t>AB4M-KB1M-S3</t>
  </si>
  <si>
    <t>7/24/26</t>
  </si>
  <si>
    <t>M329</t>
  </si>
  <si>
    <t>AB5M-KB1M-S3</t>
  </si>
  <si>
    <t>7/27/26</t>
  </si>
  <si>
    <t>M349</t>
  </si>
  <si>
    <t>AB6M-KB1M-S3</t>
  </si>
  <si>
    <t>7/28/26</t>
  </si>
  <si>
    <t>M366</t>
  </si>
  <si>
    <t>AB7M-KB1M-S3</t>
  </si>
  <si>
    <t>7/29/26</t>
  </si>
  <si>
    <t>M259</t>
  </si>
  <si>
    <t>AF1M-KB1M-S3</t>
  </si>
  <si>
    <t>1</t>
  </si>
  <si>
    <t>7/30/26</t>
  </si>
  <si>
    <t>M276</t>
  </si>
  <si>
    <t>AF2M-KB1M-S3</t>
  </si>
  <si>
    <t>7/31/26</t>
  </si>
  <si>
    <t>M293</t>
  </si>
  <si>
    <t>AF3M-KB1M-S3</t>
  </si>
  <si>
    <t>M313</t>
  </si>
  <si>
    <t>AF4M-KB1M-S3</t>
  </si>
  <si>
    <t>M333</t>
  </si>
  <si>
    <t>AF5M-KB1M-S3</t>
  </si>
  <si>
    <t>M353</t>
  </si>
  <si>
    <t>AF6M-KB1M-S3</t>
  </si>
  <si>
    <t>M370</t>
  </si>
  <si>
    <t>AF7M-KB1M-S3</t>
  </si>
  <si>
    <t>M261</t>
  </si>
  <si>
    <t>Z</t>
  </si>
  <si>
    <t>AH1M-KB1M-S3</t>
  </si>
  <si>
    <t>M278</t>
  </si>
  <si>
    <t>YYY</t>
  </si>
  <si>
    <t>AH2M-KB1M-S3</t>
  </si>
  <si>
    <t>M295</t>
  </si>
  <si>
    <t>AH3M-KB1M-S3</t>
  </si>
  <si>
    <t>M315</t>
  </si>
  <si>
    <t>AH4M-KB1M-S3</t>
  </si>
  <si>
    <t>M335</t>
  </si>
  <si>
    <t>AH5M-KB1M-S3</t>
  </si>
  <si>
    <t>M355</t>
  </si>
  <si>
    <t>AH6M-KB1M-S3</t>
  </si>
  <si>
    <t>M372</t>
  </si>
  <si>
    <t>AH7M-KB1M-S3</t>
  </si>
  <si>
    <t>M257</t>
  </si>
  <si>
    <t>AD1M-KB1M-S3</t>
  </si>
  <si>
    <t>M274</t>
  </si>
  <si>
    <t>AD2M-KB1M-S3</t>
  </si>
  <si>
    <t>M291</t>
  </si>
  <si>
    <t>AD3M-KB1M-S3</t>
  </si>
  <si>
    <t>M311</t>
  </si>
  <si>
    <t>AD4M-KB1M-S3</t>
  </si>
  <si>
    <t>M331</t>
  </si>
  <si>
    <t>AD5M-KB1M-S3</t>
  </si>
  <si>
    <t>M351</t>
  </si>
  <si>
    <t>AD6M-KB1M-S3</t>
  </si>
  <si>
    <t>M368</t>
  </si>
  <si>
    <t>AD7M-KB1M-S3</t>
  </si>
  <si>
    <t>M256</t>
  </si>
  <si>
    <t>AC1M-S4M-KB1</t>
  </si>
  <si>
    <t>M273</t>
  </si>
  <si>
    <t>AC2M-S4WM-KB1</t>
  </si>
  <si>
    <t>M290</t>
  </si>
  <si>
    <t>AC3M-S4WM-KB1</t>
  </si>
  <si>
    <t>M310</t>
  </si>
  <si>
    <t>AC4M-S4WM-KB1</t>
  </si>
  <si>
    <t>M330</t>
  </si>
  <si>
    <t>AC5M-S4WM-KB1</t>
  </si>
  <si>
    <t>M350</t>
  </si>
  <si>
    <t>AC6M-S4WM-KB1</t>
  </si>
  <si>
    <t>M367</t>
  </si>
  <si>
    <t>AC7M-S4WM-KB1</t>
  </si>
  <si>
    <t>M260</t>
  </si>
  <si>
    <t>AG1M-S4M-KB1</t>
  </si>
  <si>
    <t>M277</t>
  </si>
  <si>
    <t>AG2M-S4WM-KB1</t>
  </si>
  <si>
    <t>M294</t>
  </si>
  <si>
    <t>AG3M-S4WM-KB1</t>
  </si>
  <si>
    <t>M314</t>
  </si>
  <si>
    <t>AG4M-S4WM-KB1</t>
  </si>
  <si>
    <t>M334</t>
  </si>
  <si>
    <t>AG5M-S4WM-KB1</t>
  </si>
  <si>
    <t>M354</t>
  </si>
  <si>
    <t>AG6M-S4WM-KB1</t>
  </si>
  <si>
    <t>M371</t>
  </si>
  <si>
    <t>AG7M-S4WM-KB1</t>
  </si>
  <si>
    <t>M269</t>
  </si>
  <si>
    <t>EEE</t>
  </si>
  <si>
    <t>Y2M-KB9M-KB10</t>
  </si>
  <si>
    <t>15'-10" x 68'-1" x 11’-1"</t>
  </si>
  <si>
    <t>M286</t>
  </si>
  <si>
    <t>Y3M-KB9M-KB10</t>
  </si>
  <si>
    <t>M306</t>
  </si>
  <si>
    <t>Y4M-KB9M-KB10</t>
  </si>
  <si>
    <t>M326</t>
  </si>
  <si>
    <t>Y5M-KB9M-KB10</t>
  </si>
  <si>
    <t>M346</t>
  </si>
  <si>
    <t>Y6M-KB9M-KB10</t>
  </si>
  <si>
    <t>M363</t>
  </si>
  <si>
    <t>Y7M-KB9M-KB10</t>
  </si>
  <si>
    <t>M270</t>
  </si>
  <si>
    <t>EEEm</t>
  </si>
  <si>
    <t>Z2M-KB10M-KB9</t>
  </si>
  <si>
    <t>M287</t>
  </si>
  <si>
    <t>Z3M-KB10M-KB9</t>
  </si>
  <si>
    <t>M307</t>
  </si>
  <si>
    <t>Z4M-KB10M-KB9</t>
  </si>
  <si>
    <t>M327</t>
  </si>
  <si>
    <t>Z5M-KB10M-KB9</t>
  </si>
  <si>
    <t>M347</t>
  </si>
  <si>
    <t>Z6M-KB10M-KB9</t>
  </si>
  <si>
    <t>M364</t>
  </si>
  <si>
    <t>Z7M-KB10M-KB9</t>
  </si>
  <si>
    <t>M252</t>
  </si>
  <si>
    <t>T</t>
  </si>
  <si>
    <t>Y1M-F1M-SF1</t>
  </si>
  <si>
    <t>M253</t>
  </si>
  <si>
    <t>U</t>
  </si>
  <si>
    <t>Z1M-NL2M-NL1</t>
  </si>
  <si>
    <t>Status2</t>
  </si>
  <si>
    <t>Start Date3</t>
  </si>
  <si>
    <t>Due Date4</t>
  </si>
  <si>
    <t>Revision Status5</t>
  </si>
  <si>
    <t>Status6</t>
  </si>
  <si>
    <t>Start Date7</t>
  </si>
  <si>
    <t>Due Date8</t>
  </si>
  <si>
    <t>Status9</t>
  </si>
  <si>
    <t>Start Date10</t>
  </si>
  <si>
    <t>Due Date11</t>
  </si>
  <si>
    <t>Status12</t>
  </si>
  <si>
    <t>Start Date13</t>
  </si>
  <si>
    <t>Due Date14</t>
  </si>
  <si>
    <t>Inspection Notes15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</si>
</sst>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&quot; &quot;d&quot;, &quot;yyyy"/>
    <numFmt numFmtId="165" formatCode="mmmm\ d\,\ yyyy"/>
    <numFmt numFmtId="166" formatCode="mm/dd/yy"/>
  </numFmts>
  <fonts count="17">
    <font>
      <sz val="11"/>
      <color indexed="8"/>
      <name val="Aptos Narrow"/>
    </font>
    <font>
      <sz val="8"/>
      <color indexed="8"/>
      <name val="Helvetica Neue Medium"/>
    </font>
    <font>
      <sz val="8"/>
      <color indexed="9"/>
      <name val="Helvetica Neue"/>
      <family val="2"/>
    </font>
    <font>
      <sz val="7"/>
      <color indexed="9"/>
      <name val="Helvetica Neue"/>
      <family val="2"/>
    </font>
    <font>
      <sz val="7"/>
      <color indexed="8"/>
      <name val="Helvetica Neue Light"/>
    </font>
    <font>
      <sz val="10"/>
      <color indexed="8"/>
      <name val="Helvetica Neue"/>
      <family val="2"/>
    </font>
    <font>
      <sz val="30"/>
      <color indexed="8"/>
      <name val="Helvetica Neue"/>
      <family val="2"/>
    </font>
    <font>
      <sz val="25"/>
      <color indexed="8"/>
      <name val="Helvetica Neue Light"/>
    </font>
    <font>
      <sz val="20"/>
      <color indexed="8"/>
      <name val="Helvetica Neue Light"/>
    </font>
    <font>
      <sz val="8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2"/>
      <color indexed="9"/>
      <name val="Helvetica Neue"/>
      <family val="2"/>
    </font>
    <font>
      <sz val="12"/>
      <color indexed="8"/>
      <name val="Helvetica Neue Medium"/>
    </font>
    <font>
      <sz val="12"/>
      <color indexed="8"/>
      <name val="Helvetica Neue"/>
      <family val="2"/>
    </font>
    <font>
      <b/>
      <sz val="12"/>
      <color indexed="9"/>
      <name val="Helvetica"/>
      <family val="2"/>
    </font>
    <font>
      <b/>
      <sz val="11"/>
      <color indexed="8"/>
      <name val="Aptos Narrow"/>
    </font>
    <font>
      <sz val="8"/>
      <name val="Aptos Narrow"/>
    </font>
  </fonts>
  <fills count="2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8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4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15"/>
      </bottom>
      <diagonal/>
    </border>
    <border>
      <left/>
      <right/>
      <top style="medium">
        <color indexed="8"/>
      </top>
      <bottom style="thin">
        <color indexed="15"/>
      </bottom>
      <diagonal/>
    </border>
    <border>
      <left/>
      <right style="medium">
        <color indexed="8"/>
      </right>
      <top style="medium">
        <color indexed="8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15"/>
      </bottom>
      <diagonal/>
    </border>
    <border>
      <left style="medium">
        <color indexed="8"/>
      </left>
      <right style="thin">
        <color indexed="20"/>
      </right>
      <top style="thin">
        <color indexed="8"/>
      </top>
      <bottom style="thin">
        <color indexed="20"/>
      </bottom>
      <diagonal/>
    </border>
    <border>
      <left style="thin">
        <color indexed="20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medium">
        <color indexed="8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medium">
        <color indexed="8"/>
      </left>
      <right style="thin">
        <color indexed="20"/>
      </right>
      <top style="thin">
        <color indexed="20"/>
      </top>
      <bottom style="thin">
        <color indexed="15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20"/>
      </bottom>
      <diagonal/>
    </border>
    <border>
      <left style="thin">
        <color indexed="20"/>
      </left>
      <right style="thin">
        <color indexed="8"/>
      </right>
      <top style="thin">
        <color indexed="8"/>
      </top>
      <bottom style="thin">
        <color indexed="20"/>
      </bottom>
      <diagonal/>
    </border>
    <border>
      <left style="thin">
        <color indexed="8"/>
      </left>
      <right style="thin">
        <color indexed="20"/>
      </right>
      <top style="thin">
        <color indexed="8"/>
      </top>
      <bottom style="thin">
        <color indexed="20"/>
      </bottom>
      <diagonal/>
    </border>
    <border>
      <left style="thin">
        <color indexed="8"/>
      </left>
      <right style="thin">
        <color indexed="29"/>
      </right>
      <top style="thin">
        <color indexed="8"/>
      </top>
      <bottom style="thin">
        <color indexed="20"/>
      </bottom>
      <diagonal/>
    </border>
    <border>
      <left style="thin">
        <color indexed="29"/>
      </left>
      <right style="thin">
        <color indexed="29"/>
      </right>
      <top style="thin">
        <color indexed="8"/>
      </top>
      <bottom style="thin">
        <color indexed="29"/>
      </bottom>
      <diagonal/>
    </border>
    <border>
      <left style="thin">
        <color indexed="29"/>
      </left>
      <right style="thin">
        <color indexed="8"/>
      </right>
      <top style="thin">
        <color indexed="8"/>
      </top>
      <bottom style="thin">
        <color indexed="29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8"/>
      </right>
      <top style="thin">
        <color indexed="20"/>
      </top>
      <bottom style="thin">
        <color indexed="20"/>
      </bottom>
      <diagonal/>
    </border>
    <border>
      <left style="thin">
        <color indexed="8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8"/>
      </left>
      <right style="thin">
        <color indexed="29"/>
      </right>
      <top style="thin">
        <color indexed="20"/>
      </top>
      <bottom style="thin">
        <color indexed="20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8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0"/>
      </bottom>
      <diagonal/>
    </border>
    <border>
      <left style="thin">
        <color indexed="20"/>
      </left>
      <right style="thin">
        <color indexed="8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0"/>
      </top>
      <bottom style="thin">
        <color indexed="29"/>
      </bottom>
      <diagonal/>
    </border>
    <border>
      <left style="thin">
        <color indexed="29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8"/>
      </bottom>
      <diagonal/>
    </border>
    <border>
      <left style="thin">
        <color indexed="20"/>
      </left>
      <right style="thin">
        <color indexed="8"/>
      </right>
      <top style="thin">
        <color indexed="20"/>
      </top>
      <bottom style="medium">
        <color indexed="8"/>
      </bottom>
      <diagonal/>
    </border>
    <border>
      <left style="thin">
        <color indexed="8"/>
      </left>
      <right style="thin">
        <color indexed="20"/>
      </right>
      <top style="thin">
        <color indexed="20"/>
      </top>
      <bottom style="medium">
        <color indexed="8"/>
      </bottom>
      <diagonal/>
    </border>
    <border>
      <left style="thin">
        <color indexed="8"/>
      </left>
      <right style="thin">
        <color indexed="29"/>
      </right>
      <top style="thin">
        <color indexed="20"/>
      </top>
      <bottom style="medium">
        <color indexed="8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medium">
        <color indexed="8"/>
      </bottom>
      <diagonal/>
    </border>
    <border>
      <left style="thin">
        <color indexed="29"/>
      </left>
      <right style="thin">
        <color indexed="8"/>
      </right>
      <top style="thin">
        <color indexed="29"/>
      </top>
      <bottom style="medium">
        <color indexed="8"/>
      </bottom>
      <diagonal/>
    </border>
    <border>
      <left style="thin">
        <color indexed="25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/>
      <diagonal/>
    </border>
    <border>
      <left/>
      <right style="thin">
        <color indexed="20"/>
      </right>
      <top style="thin">
        <color indexed="8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77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vertical="top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49" fontId="12" fillId="3" borderId="19" xfId="0" applyNumberFormat="1" applyFont="1" applyFill="1" applyBorder="1" applyAlignment="1">
      <alignment horizontal="center" vertical="center" wrapText="1"/>
    </xf>
    <xf numFmtId="49" fontId="13" fillId="3" borderId="20" xfId="0" applyNumberFormat="1" applyFont="1" applyFill="1" applyBorder="1" applyAlignment="1">
      <alignment horizontal="center" vertical="center" wrapText="1"/>
    </xf>
    <xf numFmtId="49" fontId="12" fillId="3" borderId="20" xfId="0" applyNumberFormat="1" applyFont="1" applyFill="1" applyBorder="1" applyAlignment="1">
      <alignment horizontal="center" vertical="center" wrapText="1"/>
    </xf>
    <xf numFmtId="3" fontId="13" fillId="3" borderId="20" xfId="0" applyNumberFormat="1" applyFont="1" applyFill="1" applyBorder="1" applyAlignment="1">
      <alignment horizontal="center" vertical="center" wrapText="1"/>
    </xf>
    <xf numFmtId="0" fontId="13" fillId="3" borderId="21" xfId="0" applyNumberFormat="1" applyFont="1" applyFill="1" applyBorder="1" applyAlignment="1">
      <alignment horizontal="center" vertical="center" wrapText="1"/>
    </xf>
    <xf numFmtId="49" fontId="12" fillId="3" borderId="22" xfId="0" applyNumberFormat="1" applyFont="1" applyFill="1" applyBorder="1" applyAlignment="1">
      <alignment horizontal="center" vertical="center" wrapText="1"/>
    </xf>
    <xf numFmtId="49" fontId="13" fillId="3" borderId="23" xfId="0" applyNumberFormat="1" applyFont="1" applyFill="1" applyBorder="1" applyAlignment="1">
      <alignment horizontal="center" vertical="center" wrapText="1"/>
    </xf>
    <xf numFmtId="49" fontId="12" fillId="3" borderId="23" xfId="0" applyNumberFormat="1" applyFont="1" applyFill="1" applyBorder="1" applyAlignment="1">
      <alignment horizontal="center" vertical="center" wrapText="1"/>
    </xf>
    <xf numFmtId="3" fontId="13" fillId="3" borderId="23" xfId="0" applyNumberFormat="1" applyFont="1" applyFill="1" applyBorder="1" applyAlignment="1">
      <alignment horizontal="center" vertical="center" wrapText="1"/>
    </xf>
    <xf numFmtId="0" fontId="13" fillId="3" borderId="23" xfId="0" applyNumberFormat="1" applyFont="1" applyFill="1" applyBorder="1" applyAlignment="1">
      <alignment horizontal="center" vertical="center" wrapText="1"/>
    </xf>
    <xf numFmtId="14" fontId="13" fillId="3" borderId="24" xfId="0" applyNumberFormat="1" applyFont="1" applyFill="1" applyBorder="1" applyAlignment="1">
      <alignment horizontal="center" vertical="center" wrapText="1"/>
    </xf>
    <xf numFmtId="49" fontId="11" fillId="5" borderId="29" xfId="0" applyNumberFormat="1" applyFont="1" applyFill="1" applyBorder="1" applyAlignment="1">
      <alignment horizontal="center" vertical="center" wrapText="1"/>
    </xf>
    <xf numFmtId="49" fontId="11" fillId="5" borderId="30" xfId="0" applyNumberFormat="1" applyFont="1" applyFill="1" applyBorder="1" applyAlignment="1">
      <alignment horizontal="center" vertical="center" wrapText="1"/>
    </xf>
    <xf numFmtId="49" fontId="11" fillId="6" borderId="30" xfId="0" applyNumberFormat="1" applyFont="1" applyFill="1" applyBorder="1" applyAlignment="1">
      <alignment horizontal="center" vertical="center" wrapText="1"/>
    </xf>
    <xf numFmtId="49" fontId="11" fillId="7" borderId="31" xfId="0" applyNumberFormat="1" applyFont="1" applyFill="1" applyBorder="1" applyAlignment="1">
      <alignment horizontal="center" vertical="center" wrapText="1"/>
    </xf>
    <xf numFmtId="49" fontId="11" fillId="5" borderId="32" xfId="0" applyNumberFormat="1" applyFont="1" applyFill="1" applyBorder="1" applyAlignment="1">
      <alignment horizontal="center" vertical="center" wrapText="1"/>
    </xf>
    <xf numFmtId="0" fontId="0" fillId="8" borderId="33" xfId="0" applyNumberFormat="1" applyFill="1" applyBorder="1" applyAlignment="1">
      <alignment horizontal="center" vertical="center"/>
    </xf>
    <xf numFmtId="49" fontId="12" fillId="3" borderId="34" xfId="0" applyNumberFormat="1" applyFont="1" applyFill="1" applyBorder="1" applyAlignment="1">
      <alignment horizontal="center" vertical="center" wrapText="1"/>
    </xf>
    <xf numFmtId="49" fontId="12" fillId="3" borderId="35" xfId="0" applyNumberFormat="1" applyFont="1" applyFill="1" applyBorder="1" applyAlignment="1">
      <alignment horizontal="center" vertical="center" wrapText="1"/>
    </xf>
    <xf numFmtId="49" fontId="13" fillId="3" borderId="35" xfId="0" applyNumberFormat="1" applyFont="1" applyFill="1" applyBorder="1" applyAlignment="1">
      <alignment horizontal="center" vertical="center" wrapText="1"/>
    </xf>
    <xf numFmtId="14" fontId="13" fillId="3" borderId="35" xfId="0" applyNumberFormat="1" applyFont="1" applyFill="1" applyBorder="1" applyAlignment="1">
      <alignment horizontal="center" vertical="center" wrapText="1"/>
    </xf>
    <xf numFmtId="49" fontId="13" fillId="3" borderId="21" xfId="0" applyNumberFormat="1" applyFont="1" applyFill="1" applyBorder="1" applyAlignment="1">
      <alignment horizontal="center" vertical="center" wrapText="1"/>
    </xf>
    <xf numFmtId="0" fontId="0" fillId="9" borderId="36" xfId="0" applyNumberFormat="1" applyFill="1" applyBorder="1" applyAlignment="1">
      <alignment horizontal="center" vertical="center"/>
    </xf>
    <xf numFmtId="49" fontId="12" fillId="3" borderId="37" xfId="0" applyNumberFormat="1" applyFont="1" applyFill="1" applyBorder="1" applyAlignment="1">
      <alignment horizontal="center" vertical="center" wrapText="1"/>
    </xf>
    <xf numFmtId="14" fontId="13" fillId="3" borderId="20" xfId="0" applyNumberFormat="1" applyFont="1" applyFill="1" applyBorder="1" applyAlignment="1">
      <alignment horizontal="center" vertical="center" wrapText="1"/>
    </xf>
    <xf numFmtId="0" fontId="0" fillId="10" borderId="38" xfId="0" applyNumberFormat="1" applyFill="1" applyBorder="1" applyAlignment="1">
      <alignment horizontal="center" vertical="center"/>
    </xf>
    <xf numFmtId="49" fontId="12" fillId="11" borderId="22" xfId="0" applyNumberFormat="1" applyFont="1" applyFill="1" applyBorder="1" applyAlignment="1">
      <alignment horizontal="center" vertical="center" wrapText="1"/>
    </xf>
    <xf numFmtId="14" fontId="13" fillId="3" borderId="23" xfId="0" applyNumberFormat="1" applyFont="1" applyFill="1" applyBorder="1" applyAlignment="1">
      <alignment horizontal="center" vertical="center" wrapText="1"/>
    </xf>
    <xf numFmtId="49" fontId="13" fillId="3" borderId="24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3" borderId="44" xfId="0" applyFill="1" applyBorder="1"/>
    <xf numFmtId="49" fontId="14" fillId="2" borderId="30" xfId="0" applyNumberFormat="1" applyFont="1" applyFill="1" applyBorder="1" applyAlignment="1">
      <alignment horizontal="center" vertical="center" wrapText="1"/>
    </xf>
    <xf numFmtId="49" fontId="14" fillId="6" borderId="30" xfId="0" applyNumberFormat="1" applyFont="1" applyFill="1" applyBorder="1" applyAlignment="1">
      <alignment horizontal="center" vertical="center" wrapText="1"/>
    </xf>
    <xf numFmtId="0" fontId="0" fillId="3" borderId="45" xfId="0" applyFill="1" applyBorder="1"/>
    <xf numFmtId="49" fontId="0" fillId="13" borderId="46" xfId="0" applyNumberFormat="1" applyFill="1" applyBorder="1" applyAlignment="1">
      <alignment horizontal="center" vertical="center"/>
    </xf>
    <xf numFmtId="0" fontId="0" fillId="14" borderId="46" xfId="0" applyNumberFormat="1" applyFill="1" applyBorder="1" applyAlignment="1">
      <alignment horizontal="center"/>
    </xf>
    <xf numFmtId="49" fontId="0" fillId="3" borderId="46" xfId="0" applyNumberFormat="1" applyFill="1" applyBorder="1" applyAlignment="1">
      <alignment horizontal="center" vertical="center"/>
    </xf>
    <xf numFmtId="49" fontId="0" fillId="3" borderId="47" xfId="0" applyNumberFormat="1" applyFill="1" applyBorder="1" applyAlignment="1">
      <alignment horizontal="center" vertical="center"/>
    </xf>
    <xf numFmtId="0" fontId="0" fillId="3" borderId="48" xfId="0" applyNumberFormat="1" applyFill="1" applyBorder="1" applyAlignment="1">
      <alignment horizontal="center" vertical="center"/>
    </xf>
    <xf numFmtId="0" fontId="0" fillId="3" borderId="46" xfId="0" applyNumberFormat="1" applyFill="1" applyBorder="1" applyAlignment="1">
      <alignment horizontal="center" vertical="center"/>
    </xf>
    <xf numFmtId="49" fontId="15" fillId="15" borderId="49" xfId="0" applyNumberFormat="1" applyFont="1" applyFill="1" applyBorder="1" applyAlignment="1">
      <alignment horizontal="center" vertical="center"/>
    </xf>
    <xf numFmtId="14" fontId="0" fillId="3" borderId="50" xfId="0" applyNumberFormat="1" applyFill="1" applyBorder="1" applyAlignment="1">
      <alignment horizontal="center"/>
    </xf>
    <xf numFmtId="14" fontId="0" fillId="3" borderId="51" xfId="0" applyNumberFormat="1" applyFill="1" applyBorder="1" applyAlignment="1">
      <alignment horizontal="center"/>
    </xf>
    <xf numFmtId="14" fontId="15" fillId="3" borderId="48" xfId="0" applyNumberFormat="1" applyFont="1" applyFill="1" applyBorder="1" applyAlignment="1">
      <alignment horizontal="center" vertical="center"/>
    </xf>
    <xf numFmtId="9" fontId="0" fillId="3" borderId="47" xfId="0" applyNumberFormat="1" applyFill="1" applyBorder="1" applyAlignment="1">
      <alignment horizontal="center" vertical="center"/>
    </xf>
    <xf numFmtId="9" fontId="0" fillId="3" borderId="48" xfId="0" applyNumberFormat="1" applyFill="1" applyBorder="1" applyAlignment="1">
      <alignment horizontal="center" vertical="center"/>
    </xf>
    <xf numFmtId="14" fontId="0" fillId="3" borderId="46" xfId="0" applyNumberFormat="1" applyFill="1" applyBorder="1" applyAlignment="1">
      <alignment horizontal="center"/>
    </xf>
    <xf numFmtId="14" fontId="0" fillId="3" borderId="47" xfId="0" applyNumberFormat="1" applyFill="1" applyBorder="1" applyAlignment="1">
      <alignment horizontal="center"/>
    </xf>
    <xf numFmtId="14" fontId="0" fillId="3" borderId="48" xfId="0" applyNumberFormat="1" applyFill="1" applyBorder="1" applyAlignment="1">
      <alignment horizontal="center" vertical="center"/>
    </xf>
    <xf numFmtId="49" fontId="0" fillId="3" borderId="48" xfId="0" applyNumberFormat="1" applyFill="1" applyBorder="1" applyAlignment="1">
      <alignment horizontal="center" vertical="center"/>
    </xf>
    <xf numFmtId="9" fontId="0" fillId="3" borderId="46" xfId="0" applyNumberFormat="1" applyFill="1" applyBorder="1" applyAlignment="1">
      <alignment horizontal="center" vertical="center"/>
    </xf>
    <xf numFmtId="14" fontId="0" fillId="3" borderId="46" xfId="0" applyNumberFormat="1" applyFill="1" applyBorder="1" applyAlignment="1">
      <alignment horizontal="center" vertical="center"/>
    </xf>
    <xf numFmtId="166" fontId="0" fillId="3" borderId="47" xfId="0" applyNumberFormat="1" applyFill="1" applyBorder="1" applyAlignment="1">
      <alignment horizontal="center" vertical="center"/>
    </xf>
    <xf numFmtId="14" fontId="0" fillId="3" borderId="47" xfId="0" applyNumberFormat="1" applyFill="1" applyBorder="1" applyAlignment="1">
      <alignment horizontal="center" vertical="center"/>
    </xf>
    <xf numFmtId="49" fontId="0" fillId="13" borderId="52" xfId="0" applyNumberFormat="1" applyFill="1" applyBorder="1" applyAlignment="1">
      <alignment horizontal="center" vertical="center"/>
    </xf>
    <xf numFmtId="0" fontId="0" fillId="14" borderId="52" xfId="0" applyNumberFormat="1" applyFill="1" applyBorder="1" applyAlignment="1">
      <alignment horizontal="center"/>
    </xf>
    <xf numFmtId="49" fontId="0" fillId="3" borderId="52" xfId="0" applyNumberFormat="1" applyFill="1" applyBorder="1" applyAlignment="1">
      <alignment horizontal="center" vertical="center"/>
    </xf>
    <xf numFmtId="49" fontId="0" fillId="3" borderId="53" xfId="0" applyNumberFormat="1" applyFill="1" applyBorder="1" applyAlignment="1">
      <alignment horizontal="center" vertical="center"/>
    </xf>
    <xf numFmtId="0" fontId="0" fillId="3" borderId="54" xfId="0" applyNumberFormat="1" applyFill="1" applyBorder="1" applyAlignment="1">
      <alignment horizontal="center" vertical="center"/>
    </xf>
    <xf numFmtId="0" fontId="0" fillId="3" borderId="52" xfId="0" applyNumberFormat="1" applyFill="1" applyBorder="1" applyAlignment="1">
      <alignment horizontal="center" vertical="center"/>
    </xf>
    <xf numFmtId="49" fontId="15" fillId="16" borderId="55" xfId="0" applyNumberFormat="1" applyFont="1" applyFill="1" applyBorder="1" applyAlignment="1">
      <alignment horizontal="center" vertical="center"/>
    </xf>
    <xf numFmtId="14" fontId="0" fillId="3" borderId="56" xfId="0" applyNumberFormat="1" applyFill="1" applyBorder="1" applyAlignment="1">
      <alignment horizontal="center"/>
    </xf>
    <xf numFmtId="14" fontId="0" fillId="3" borderId="57" xfId="0" applyNumberFormat="1" applyFill="1" applyBorder="1" applyAlignment="1">
      <alignment horizontal="center"/>
    </xf>
    <xf numFmtId="14" fontId="0" fillId="3" borderId="54" xfId="0" applyNumberFormat="1" applyFill="1" applyBorder="1" applyAlignment="1">
      <alignment horizontal="center" vertical="center"/>
    </xf>
    <xf numFmtId="9" fontId="0" fillId="3" borderId="53" xfId="0" applyNumberFormat="1" applyFill="1" applyBorder="1" applyAlignment="1">
      <alignment horizontal="center" vertical="center"/>
    </xf>
    <xf numFmtId="9" fontId="0" fillId="3" borderId="54" xfId="0" applyNumberFormat="1" applyFill="1" applyBorder="1" applyAlignment="1">
      <alignment horizontal="center" vertical="center"/>
    </xf>
    <xf numFmtId="14" fontId="0" fillId="3" borderId="52" xfId="0" applyNumberFormat="1" applyFill="1" applyBorder="1" applyAlignment="1">
      <alignment horizontal="center"/>
    </xf>
    <xf numFmtId="14" fontId="0" fillId="3" borderId="53" xfId="0" applyNumberFormat="1" applyFill="1" applyBorder="1" applyAlignment="1">
      <alignment horizontal="center" vertical="center"/>
    </xf>
    <xf numFmtId="49" fontId="0" fillId="3" borderId="54" xfId="0" applyNumberFormat="1" applyFill="1" applyBorder="1" applyAlignment="1">
      <alignment horizontal="center" vertical="center"/>
    </xf>
    <xf numFmtId="9" fontId="0" fillId="3" borderId="52" xfId="0" applyNumberFormat="1" applyFill="1" applyBorder="1" applyAlignment="1">
      <alignment horizontal="center" vertical="center"/>
    </xf>
    <xf numFmtId="14" fontId="0" fillId="3" borderId="52" xfId="0" applyNumberFormat="1" applyFill="1" applyBorder="1" applyAlignment="1">
      <alignment horizontal="center" vertical="center"/>
    </xf>
    <xf numFmtId="166" fontId="0" fillId="3" borderId="53" xfId="0" applyNumberFormat="1" applyFill="1" applyBorder="1" applyAlignment="1">
      <alignment horizontal="center" vertical="center"/>
    </xf>
    <xf numFmtId="0" fontId="0" fillId="10" borderId="52" xfId="0" applyNumberFormat="1" applyFill="1" applyBorder="1" applyAlignment="1">
      <alignment horizontal="center"/>
    </xf>
    <xf numFmtId="14" fontId="0" fillId="3" borderId="53" xfId="0" applyNumberFormat="1" applyFill="1" applyBorder="1" applyAlignment="1">
      <alignment horizontal="center"/>
    </xf>
    <xf numFmtId="0" fontId="0" fillId="17" borderId="52" xfId="0" applyNumberFormat="1" applyFill="1" applyBorder="1" applyAlignment="1">
      <alignment horizontal="center"/>
    </xf>
    <xf numFmtId="0" fontId="0" fillId="3" borderId="53" xfId="0" applyFill="1" applyBorder="1"/>
    <xf numFmtId="49" fontId="15" fillId="18" borderId="55" xfId="0" applyNumberFormat="1" applyFont="1" applyFill="1" applyBorder="1" applyAlignment="1">
      <alignment horizontal="center" vertical="center"/>
    </xf>
    <xf numFmtId="9" fontId="0" fillId="3" borderId="55" xfId="0" applyNumberFormat="1" applyFill="1" applyBorder="1" applyAlignment="1">
      <alignment horizontal="center" vertical="center"/>
    </xf>
    <xf numFmtId="14" fontId="0" fillId="3" borderId="58" xfId="0" applyNumberForma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14" fontId="0" fillId="3" borderId="60" xfId="0" applyNumberFormat="1" applyFill="1" applyBorder="1" applyAlignment="1">
      <alignment horizontal="center"/>
    </xf>
    <xf numFmtId="0" fontId="0" fillId="19" borderId="52" xfId="0" applyNumberFormat="1" applyFill="1" applyBorder="1" applyAlignment="1">
      <alignment horizontal="center"/>
    </xf>
    <xf numFmtId="14" fontId="0" fillId="3" borderId="56" xfId="0" applyNumberFormat="1" applyFill="1" applyBorder="1" applyAlignment="1">
      <alignment horizontal="center" vertical="center"/>
    </xf>
    <xf numFmtId="49" fontId="15" fillId="15" borderId="55" xfId="0" applyNumberFormat="1" applyFont="1" applyFill="1" applyBorder="1" applyAlignment="1">
      <alignment horizontal="center" vertical="center"/>
    </xf>
    <xf numFmtId="49" fontId="0" fillId="3" borderId="55" xfId="0" applyNumberFormat="1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NumberFormat="1" applyFill="1" applyBorder="1" applyAlignment="1">
      <alignment horizontal="center" vertical="center"/>
    </xf>
    <xf numFmtId="14" fontId="0" fillId="3" borderId="61" xfId="0" applyNumberFormat="1" applyFill="1" applyBorder="1" applyAlignment="1">
      <alignment horizontal="center" vertical="center"/>
    </xf>
    <xf numFmtId="14" fontId="0" fillId="3" borderId="60" xfId="0" applyNumberFormat="1" applyFill="1" applyBorder="1" applyAlignment="1">
      <alignment horizontal="center" vertical="center"/>
    </xf>
    <xf numFmtId="49" fontId="0" fillId="3" borderId="62" xfId="0" applyNumberFormat="1" applyFill="1" applyBorder="1" applyAlignment="1">
      <alignment horizontal="center" vertical="center"/>
    </xf>
    <xf numFmtId="49" fontId="0" fillId="3" borderId="63" xfId="0" applyNumberFormat="1" applyFill="1" applyBorder="1" applyAlignment="1">
      <alignment horizontal="center" vertical="center"/>
    </xf>
    <xf numFmtId="0" fontId="0" fillId="3" borderId="64" xfId="0" applyNumberFormat="1" applyFill="1" applyBorder="1" applyAlignment="1">
      <alignment horizontal="center" vertical="center"/>
    </xf>
    <xf numFmtId="9" fontId="0" fillId="3" borderId="65" xfId="0" applyNumberFormat="1" applyFill="1" applyBorder="1" applyAlignment="1">
      <alignment horizontal="center" vertical="center"/>
    </xf>
    <xf numFmtId="14" fontId="0" fillId="3" borderId="67" xfId="0" applyNumberFormat="1" applyFill="1" applyBorder="1" applyAlignment="1">
      <alignment horizontal="center"/>
    </xf>
    <xf numFmtId="14" fontId="0" fillId="3" borderId="64" xfId="0" applyNumberFormat="1" applyFill="1" applyBorder="1" applyAlignment="1">
      <alignment horizontal="center" vertical="center"/>
    </xf>
    <xf numFmtId="9" fontId="0" fillId="3" borderId="63" xfId="0" applyNumberFormat="1" applyFill="1" applyBorder="1" applyAlignment="1">
      <alignment horizontal="center" vertical="center"/>
    </xf>
    <xf numFmtId="9" fontId="0" fillId="3" borderId="64" xfId="0" applyNumberFormat="1" applyFill="1" applyBorder="1" applyAlignment="1">
      <alignment horizontal="center" vertical="center"/>
    </xf>
    <xf numFmtId="14" fontId="0" fillId="3" borderId="62" xfId="0" applyNumberFormat="1" applyFill="1" applyBorder="1" applyAlignment="1">
      <alignment horizontal="center"/>
    </xf>
    <xf numFmtId="14" fontId="0" fillId="3" borderId="63" xfId="0" applyNumberFormat="1" applyFill="1" applyBorder="1" applyAlignment="1">
      <alignment horizontal="center"/>
    </xf>
    <xf numFmtId="49" fontId="0" fillId="3" borderId="64" xfId="0" applyNumberFormat="1" applyFill="1" applyBorder="1" applyAlignment="1">
      <alignment horizontal="center" vertical="center"/>
    </xf>
    <xf numFmtId="9" fontId="0" fillId="3" borderId="62" xfId="0" applyNumberFormat="1" applyFill="1" applyBorder="1" applyAlignment="1">
      <alignment horizontal="center" vertical="center"/>
    </xf>
    <xf numFmtId="14" fontId="0" fillId="3" borderId="62" xfId="0" applyNumberFormat="1" applyFill="1" applyBorder="1" applyAlignment="1">
      <alignment horizontal="center" vertical="center"/>
    </xf>
    <xf numFmtId="14" fontId="0" fillId="3" borderId="63" xfId="0" applyNumberFormat="1" applyFill="1" applyBorder="1" applyAlignment="1">
      <alignment horizontal="center" vertical="center"/>
    </xf>
    <xf numFmtId="0" fontId="0" fillId="3" borderId="68" xfId="0" applyFill="1" applyBorder="1"/>
    <xf numFmtId="0" fontId="0" fillId="3" borderId="69" xfId="0" applyFill="1" applyBorder="1"/>
    <xf numFmtId="0" fontId="0" fillId="3" borderId="70" xfId="0" applyFill="1" applyBorder="1"/>
    <xf numFmtId="0" fontId="0" fillId="3" borderId="71" xfId="0" applyFill="1" applyBorder="1"/>
    <xf numFmtId="14" fontId="0" fillId="3" borderId="69" xfId="0" applyNumberFormat="1" applyFill="1" applyBorder="1" applyAlignment="1">
      <alignment horizontal="center" vertical="center"/>
    </xf>
    <xf numFmtId="0" fontId="0" fillId="3" borderId="72" xfId="0" applyFill="1" applyBorder="1"/>
    <xf numFmtId="49" fontId="14" fillId="2" borderId="40" xfId="0" applyNumberFormat="1" applyFont="1" applyFill="1" applyBorder="1" applyAlignment="1">
      <alignment horizontal="center" vertical="center" wrapText="1"/>
    </xf>
    <xf numFmtId="49" fontId="14" fillId="2" borderId="39" xfId="0" applyNumberFormat="1" applyFont="1" applyFill="1" applyBorder="1" applyAlignment="1">
      <alignment horizontal="center" vertical="center" wrapText="1"/>
    </xf>
    <xf numFmtId="49" fontId="14" fillId="5" borderId="40" xfId="0" applyNumberFormat="1" applyFont="1" applyFill="1" applyBorder="1" applyAlignment="1">
      <alignment horizontal="center" vertical="center" wrapText="1"/>
    </xf>
    <xf numFmtId="49" fontId="14" fillId="12" borderId="41" xfId="0" applyNumberFormat="1" applyFont="1" applyFill="1" applyBorder="1" applyAlignment="1">
      <alignment horizontal="center" vertical="center" wrapText="1"/>
    </xf>
    <xf numFmtId="49" fontId="14" fillId="2" borderId="41" xfId="0" applyNumberFormat="1" applyFont="1" applyFill="1" applyBorder="1" applyAlignment="1">
      <alignment horizontal="center" vertical="center" wrapText="1"/>
    </xf>
    <xf numFmtId="49" fontId="14" fillId="2" borderId="43" xfId="0" applyNumberFormat="1" applyFont="1" applyFill="1" applyBorder="1" applyAlignment="1">
      <alignment horizontal="center" vertical="center" wrapText="1"/>
    </xf>
    <xf numFmtId="1" fontId="0" fillId="3" borderId="73" xfId="0" applyNumberFormat="1" applyFill="1" applyBorder="1" applyAlignment="1">
      <alignment horizontal="center" vertical="center"/>
    </xf>
    <xf numFmtId="1" fontId="0" fillId="3" borderId="74" xfId="0" applyNumberFormat="1" applyFill="1" applyBorder="1" applyAlignment="1">
      <alignment horizontal="center" vertical="center"/>
    </xf>
    <xf numFmtId="1" fontId="0" fillId="3" borderId="75" xfId="0" applyNumberFormat="1" applyFill="1" applyBorder="1" applyAlignment="1">
      <alignment horizontal="center" vertical="center"/>
    </xf>
    <xf numFmtId="49" fontId="14" fillId="2" borderId="76" xfId="0" applyNumberFormat="1" applyFont="1" applyFill="1" applyBorder="1" applyAlignment="1">
      <alignment horizontal="center" vertical="center" wrapText="1"/>
    </xf>
    <xf numFmtId="49" fontId="0" fillId="3" borderId="77" xfId="0" applyNumberFormat="1" applyFill="1" applyBorder="1" applyAlignment="1">
      <alignment horizontal="center" vertical="center"/>
    </xf>
    <xf numFmtId="49" fontId="0" fillId="3" borderId="78" xfId="0" applyNumberFormat="1" applyFill="1" applyBorder="1" applyAlignment="1">
      <alignment horizontal="center" vertical="center"/>
    </xf>
    <xf numFmtId="14" fontId="0" fillId="3" borderId="78" xfId="0" applyNumberFormat="1" applyFill="1" applyBorder="1" applyAlignment="1">
      <alignment horizontal="center" vertical="center"/>
    </xf>
    <xf numFmtId="0" fontId="0" fillId="3" borderId="62" xfId="0" applyNumberFormat="1" applyFill="1" applyBorder="1" applyAlignment="1">
      <alignment horizontal="center" vertical="center"/>
    </xf>
    <xf numFmtId="49" fontId="15" fillId="18" borderId="54" xfId="0" applyNumberFormat="1" applyFont="1" applyFill="1" applyBorder="1" applyAlignment="1">
      <alignment horizontal="center" vertical="center"/>
    </xf>
    <xf numFmtId="14" fontId="0" fillId="3" borderId="61" xfId="0" applyNumberFormat="1" applyFill="1" applyBorder="1" applyAlignment="1">
      <alignment horizontal="center"/>
    </xf>
    <xf numFmtId="14" fontId="0" fillId="3" borderId="66" xfId="0" applyNumberFormat="1" applyFill="1" applyBorder="1" applyAlignment="1">
      <alignment horizontal="center"/>
    </xf>
    <xf numFmtId="14" fontId="0" fillId="3" borderId="58" xfId="0" applyNumberFormat="1" applyFill="1" applyBorder="1" applyAlignment="1">
      <alignment horizontal="center" vertical="center"/>
    </xf>
    <xf numFmtId="49" fontId="0" fillId="3" borderId="79" xfId="0" applyNumberFormat="1" applyFill="1" applyBorder="1" applyAlignment="1">
      <alignment horizontal="center" vertical="center"/>
    </xf>
    <xf numFmtId="0" fontId="0" fillId="14" borderId="62" xfId="0" applyNumberFormat="1" applyFill="1" applyBorder="1" applyAlignment="1">
      <alignment horizontal="center"/>
    </xf>
    <xf numFmtId="0" fontId="0" fillId="3" borderId="63" xfId="0" applyFill="1" applyBorder="1"/>
    <xf numFmtId="49" fontId="15" fillId="15" borderId="54" xfId="0" applyNumberFormat="1" applyFont="1" applyFill="1" applyBorder="1" applyAlignment="1">
      <alignment horizontal="center" vertical="center"/>
    </xf>
    <xf numFmtId="49" fontId="15" fillId="16" borderId="54" xfId="0" applyNumberFormat="1" applyFont="1" applyFill="1" applyBorder="1" applyAlignment="1">
      <alignment horizontal="center" vertical="center"/>
    </xf>
    <xf numFmtId="49" fontId="14" fillId="5" borderId="42" xfId="0" applyNumberFormat="1" applyFont="1" applyFill="1" applyBorder="1" applyAlignment="1">
      <alignment horizontal="center" vertical="center" wrapText="1"/>
    </xf>
    <xf numFmtId="0" fontId="0" fillId="3" borderId="26" xfId="0" applyFill="1" applyBorder="1"/>
    <xf numFmtId="0" fontId="0" fillId="3" borderId="43" xfId="0" applyFill="1" applyBorder="1"/>
    <xf numFmtId="49" fontId="14" fillId="2" borderId="42" xfId="0" applyNumberFormat="1" applyFont="1" applyFill="1" applyBorder="1" applyAlignment="1">
      <alignment horizontal="center" vertical="center" wrapText="1"/>
    </xf>
    <xf numFmtId="0" fontId="0" fillId="3" borderId="27" xfId="0" applyFill="1" applyBorder="1"/>
    <xf numFmtId="49" fontId="11" fillId="5" borderId="40" xfId="0" applyNumberFormat="1" applyFont="1" applyFill="1" applyBorder="1" applyAlignment="1">
      <alignment horizontal="center" vertical="center" wrapText="1"/>
    </xf>
    <xf numFmtId="0" fontId="0" fillId="3" borderId="40" xfId="0" applyFill="1" applyBorder="1"/>
    <xf numFmtId="49" fontId="14" fillId="2" borderId="40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49" fontId="6" fillId="3" borderId="11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49" fontId="10" fillId="2" borderId="25" xfId="0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vertical="top" wrapText="1"/>
    </xf>
    <xf numFmtId="0" fontId="5" fillId="0" borderId="27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49" fontId="14" fillId="6" borderId="40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38"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/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29"/>
        </left>
        <right style="thin">
          <color indexed="8"/>
        </right>
        <top style="thin">
          <color indexed="29"/>
        </top>
        <bottom style="thin">
          <color indexed="29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9"/>
        </left>
        <right style="thin">
          <color indexed="29"/>
        </right>
        <top style="thin">
          <color indexed="29"/>
        </top>
        <bottom style="thin">
          <color indexed="29"/>
        </bottom>
        <vertical/>
        <horizontal/>
      </border>
    </dxf>
    <dxf>
      <numFmt numFmtId="13" formatCode="0%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9"/>
        </right>
        <top style="thin">
          <color indexed="20"/>
        </top>
        <bottom style="thin">
          <color indexed="20"/>
        </bottom>
        <vertical/>
        <horizontal/>
      </border>
    </dxf>
    <dxf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8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0" formatCode="General"/>
      <fill>
        <patternFill patternType="solid">
          <fgColor indexed="64"/>
          <bgColor indexed="3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30" formatCode="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numFmt numFmtId="1" formatCode="0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20"/>
        </right>
        <top style="thin">
          <color indexed="20"/>
        </top>
        <bottom style="thin">
          <color indexed="20"/>
        </bottom>
        <vertical/>
        <horizontal/>
      </border>
    </dxf>
    <dxf>
      <border outline="0">
        <left style="medium">
          <color indexed="8"/>
        </left>
        <right style="medium">
          <color indexed="8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Helvetica"/>
        <family val="2"/>
        <scheme val="none"/>
      </font>
      <numFmt numFmtId="30" formatCode="@"/>
      <fill>
        <patternFill patternType="solid">
          <fgColor indexed="64"/>
          <bgColor indexed="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D7478"/>
      <rgbColor rgb="FF5E5E5F"/>
      <rgbColor rgb="FFF2F2F3"/>
      <rgbColor rgb="FF5E5F5D"/>
      <rgbColor rgb="FFD5D5D5"/>
      <rgbColor rgb="FFA9AAAB"/>
      <rgbColor rgb="FF6E7477"/>
      <rgbColor rgb="FFB54D16"/>
      <rgbColor rgb="FF8DB169"/>
      <rgbColor rgb="FFF4CECC"/>
      <rgbColor rgb="FFD0D0D0"/>
      <rgbColor rgb="FFECABCB"/>
      <rgbColor rgb="FFC2E9C0"/>
      <rgbColor rgb="FFADCACA"/>
      <rgbColor rgb="FF3A6B82"/>
      <rgbColor rgb="FFAAAAAA"/>
      <rgbColor rgb="FFE6C149"/>
      <rgbColor rgb="FFADCACA"/>
      <rgbColor rgb="FF82C660"/>
      <rgbColor rgb="FFDCDCDC"/>
      <rgbColor rgb="FF6AC84F"/>
      <rgbColor rgb="FFF4CECC"/>
      <rgbColor rgb="FF81C55F"/>
      <rgbColor rgb="FFECABCB"/>
      <rgbColor rgb="FFFFD478"/>
      <rgbColor rgb="FF3A6B82"/>
      <rgbColor rgb="FF94B071"/>
      <rgbColor rgb="FFE6C149"/>
      <rgbColor rgb="FFEAEAEA"/>
      <rgbColor rgb="FF6AC84F"/>
      <rgbColor rgb="FF256C85"/>
      <rgbColor rgb="FFFEFB00"/>
      <rgbColor rgb="FF941100"/>
      <rgbColor rgb="FFBFBFBF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165977</xdr:colOff>
      <xdr:row>0</xdr:row>
      <xdr:rowOff>73936</xdr:rowOff>
    </xdr:from>
    <xdr:to>
      <xdr:col>7</xdr:col>
      <xdr:colOff>1824986</xdr:colOff>
      <xdr:row>0</xdr:row>
      <xdr:rowOff>1295740</xdr:rowOff>
    </xdr:to>
    <xdr:pic>
      <xdr:nvPicPr>
        <xdr:cNvPr id="2" name="pasted-movie.png" descr="pasted-movi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81577" y="73936"/>
          <a:ext cx="1659010" cy="122180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200AF-2184-4A9D-A45F-1DC711E92D44}" name="Table1" displayName="Table1" ref="A15:AJ514" totalsRowShown="0" headerRowDxfId="37" tableBorderDxfId="36">
  <autoFilter ref="A15:AJ514" xr:uid="{1F9200AF-2184-4A9D-A45F-1DC711E92D44}"/>
  <sortState xmlns:xlrd2="http://schemas.microsoft.com/office/spreadsheetml/2017/richdata2" ref="A16:AJ514">
    <sortCondition ref="AH15:AH514"/>
  </sortState>
  <tableColumns count="36">
    <tableColumn id="1" xr3:uid="{447AD1DC-C194-41B4-A519-54D257C3A83D}" name="Item" dataDxfId="35">
      <calculatedColumnFormula array="1">A15+1</calculatedColumnFormula>
    </tableColumn>
    <tableColumn id="2" xr3:uid="{69B8CCD3-9E7C-4200-BFEF-7D3684D28B81}" name="Module" dataDxfId="34"/>
    <tableColumn id="3" xr3:uid="{BD7348FE-FB80-4681-BF6F-17E73C611E13}" name="Tranche" dataDxfId="33"/>
    <tableColumn id="4" xr3:uid="{6B58FBA4-5D60-4EC0-B002-D0292EE6C4E3}" name="Mod Type" dataDxfId="32"/>
    <tableColumn id="5" xr3:uid="{A4E442BD-E49D-4FA7-8539-5F247EA28743}" name="Module Serial Number" dataDxfId="31"/>
    <tableColumn id="6" xr3:uid="{E7238F75-FB17-42EB-AFCF-8DE93AB944A5}" name="Oversized" dataDxfId="30"/>
    <tableColumn id="7" xr3:uid="{EC0A2824-FC2E-4E19-9E04-D2ADE82C782F}" name="Dimension" dataDxfId="29"/>
    <tableColumn id="8" xr3:uid="{01B08C92-80FA-4B71-B6FD-F09ABC0CE61A}" name="Estimated Weight (lb)" dataDxfId="28"/>
    <tableColumn id="9" xr3:uid="{3E325099-5073-4809-AED2-85864EF83CA6}" name="Production Sequence_x000a_Line 1" dataDxfId="27"/>
    <tableColumn id="10" xr3:uid="{05662050-4928-40ED-9BBA-A5C7A2E13B1D}" name="Production Sequence_x000a_Line 2" dataDxfId="26"/>
    <tableColumn id="11" xr3:uid="{84712111-9C40-4BEB-AFEF-FA0125A53013}" name="Status" dataDxfId="25"/>
    <tableColumn id="12" xr3:uid="{FA3A5FEB-60FB-4EC1-9390-3F98B4AFF73C}" name="Start Date" dataDxfId="24">
      <calculatedColumnFormula array="1">WORKDAY(M16,-10)</calculatedColumnFormula>
    </tableColumn>
    <tableColumn id="13" xr3:uid="{4CF82AE6-BFBE-44C9-8F9D-A9C9B623B02C}" name="Due Date" dataDxfId="23"/>
    <tableColumn id="14" xr3:uid="{C9636D8C-D25E-4B3A-87C8-CF269CE1251E}" name=" Due Date Required for Approved Drawings" dataDxfId="22">
      <calculatedColumnFormula array="1">WORKDAY(M16,10)</calculatedColumnFormula>
    </tableColumn>
    <tableColumn id="15" xr3:uid="{309ABC03-734E-48E5-A70B-C5DDBA43087D}" name="Revision Status" dataDxfId="21"/>
    <tableColumn id="16" xr3:uid="{EB1C0B14-439E-438C-B955-004FBAC33FC8}" name="Status2" dataDxfId="20"/>
    <tableColumn id="17" xr3:uid="{06C8DA87-3BC4-43EE-AB9A-DEC4919C4C63}" name="Start Date3" dataDxfId="19"/>
    <tableColumn id="18" xr3:uid="{06576F6E-8992-4805-9E7A-00760D4CA8FE}" name="Due Date4" dataDxfId="18"/>
    <tableColumn id="19" xr3:uid="{8AD9D2EF-EA4E-4064-92ED-E9FB586259CE}" name="Due Date Required for Approved Drawings" dataDxfId="17">
      <calculatedColumnFormula array="1">WORKDAY(R16,10)</calculatedColumnFormula>
    </tableColumn>
    <tableColumn id="20" xr3:uid="{210A9EFB-68C6-4F8E-9A4D-338895A53DD7}" name="Revision Status5" dataDxfId="16"/>
    <tableColumn id="21" xr3:uid="{B6FE0015-2654-471E-82F6-FB43424016AF}" name="Assigned Fabricator" dataDxfId="15"/>
    <tableColumn id="22" xr3:uid="{B5C78131-E12D-4D0B-9FE2-E939BC2CBD9F}" name="Status6" dataDxfId="14"/>
    <tableColumn id="23" xr3:uid="{99F4F792-4B92-4467-8CB3-48492FD5DCFB}" name="Start Date7" dataDxfId="13">
      <calculatedColumnFormula array="1">WORKDAY(X16,-20)</calculatedColumnFormula>
    </tableColumn>
    <tableColumn id="24" xr3:uid="{8FEDF3A5-5443-471B-B603-4D5F8B01464E}" name="Due Date8" dataDxfId="12"/>
    <tableColumn id="25" xr3:uid="{2B8DBA1A-94ED-4EFC-899F-139D5897631C}" name="Status9" dataDxfId="11"/>
    <tableColumn id="26" xr3:uid="{5D0A1EE8-60C3-4804-87B7-883E7E4C2671}" name="Start Date10" dataDxfId="10"/>
    <tableColumn id="27" xr3:uid="{1DC647B5-2D9E-4A16-AA3B-B33076AC33A5}" name="Due Date11" dataDxfId="9"/>
    <tableColumn id="28" xr3:uid="{8CBFCF35-BB2E-475A-9C56-551805EA04EE}" name="Status12" dataDxfId="8"/>
    <tableColumn id="29" xr3:uid="{AB34D9BD-B5FA-4EC0-806C-A7C4CDF0BC8C}" name="Start Date13" dataDxfId="7"/>
    <tableColumn id="30" xr3:uid="{99DDE01D-ACA0-46E7-8F1D-BF6C147A65F9}" name="Due Date14" dataDxfId="6"/>
    <tableColumn id="31" xr3:uid="{B4B3F1C1-6201-4DB5-A7D6-D82832F525F7}" name="Inspection Notes" dataDxfId="5"/>
    <tableColumn id="33" xr3:uid="{5A1D5F32-C236-4E23-951B-6B9E50FDDE61}" name="Status " dataDxfId="4"/>
    <tableColumn id="34" xr3:uid="{EADF2020-7253-4E01-B709-6F5FABE650F3}" name="Shipping Date" dataDxfId="3">
      <calculatedColumnFormula array="1">WORKDAY(AA16,2)</calculatedColumnFormula>
    </tableColumn>
    <tableColumn id="35" xr3:uid="{D278D344-38FC-43EF-A9A5-54CBB60BBFF6}" name="Arrival Date" dataDxfId="2">
      <calculatedColumnFormula array="1">WORKDAY(AG16,1)</calculatedColumnFormula>
    </tableColumn>
    <tableColumn id="36" xr3:uid="{517FCC36-6840-4B72-A8FC-86522BD15A4A}" name="Yard Inspection Date " dataDxfId="1">
      <calculatedColumnFormula array="1">WORKDAY(AH16,1)</calculatedColumnFormula>
    </tableColumn>
    <tableColumn id="37" xr3:uid="{F7AAB55D-C3B2-41BB-9B2E-19EB3CF72628}" name="Inspection Notes1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showGridLines="0" workbookViewId="0">
      <selection sqref="A1:E1"/>
    </sheetView>
  </sheetViews>
  <sheetFormatPr defaultColWidth="16.28515625" defaultRowHeight="11.85" customHeight="1"/>
  <cols>
    <col min="1" max="1" width="5.42578125" style="1" customWidth="1"/>
    <col min="2" max="2" width="30" style="1" customWidth="1"/>
    <col min="3" max="3" width="14.85546875" style="1" customWidth="1"/>
    <col min="4" max="4" width="68.42578125" style="1" customWidth="1"/>
    <col min="5" max="5" width="20.85546875" style="1" customWidth="1"/>
    <col min="6" max="6" width="16.28515625" style="1" customWidth="1"/>
    <col min="7" max="16384" width="16.28515625" style="1"/>
  </cols>
  <sheetData>
    <row r="1" spans="1:5" ht="21" customHeight="1">
      <c r="A1" s="175" t="s">
        <v>0</v>
      </c>
      <c r="B1" s="176"/>
      <c r="C1" s="176"/>
      <c r="D1" s="176"/>
      <c r="E1" s="176"/>
    </row>
    <row r="2" spans="1:5" ht="19.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5.450000000000003" customHeight="1">
      <c r="A3" s="3">
        <v>1</v>
      </c>
      <c r="B3" s="4" t="s">
        <v>6</v>
      </c>
      <c r="C3" s="5">
        <v>46048</v>
      </c>
      <c r="D3" s="6" t="s">
        <v>7</v>
      </c>
      <c r="E3" s="7" t="s">
        <v>8</v>
      </c>
    </row>
    <row r="4" spans="1:5" ht="23.45" customHeight="1">
      <c r="A4" s="8">
        <v>2</v>
      </c>
      <c r="B4" s="9" t="s">
        <v>9</v>
      </c>
      <c r="C4" s="10">
        <v>46050</v>
      </c>
      <c r="D4" s="11" t="s">
        <v>10</v>
      </c>
      <c r="E4" s="12"/>
    </row>
    <row r="5" spans="1:5" ht="23.45" customHeight="1">
      <c r="A5" s="8">
        <v>3</v>
      </c>
      <c r="B5" s="9" t="s">
        <v>11</v>
      </c>
      <c r="C5" s="11" t="s">
        <v>12</v>
      </c>
      <c r="D5" s="11" t="s">
        <v>13</v>
      </c>
      <c r="E5" s="12"/>
    </row>
    <row r="6" spans="1:5" ht="23.45" customHeight="1">
      <c r="A6" s="8">
        <v>4</v>
      </c>
      <c r="B6" s="9" t="s">
        <v>14</v>
      </c>
      <c r="C6" s="11" t="s">
        <v>15</v>
      </c>
      <c r="D6" s="11" t="s">
        <v>7</v>
      </c>
      <c r="E6" s="12"/>
    </row>
    <row r="7" spans="1:5" ht="23.45" customHeight="1">
      <c r="A7" s="8">
        <v>5</v>
      </c>
      <c r="B7" s="9" t="s">
        <v>16</v>
      </c>
      <c r="C7" s="13">
        <v>46073</v>
      </c>
      <c r="D7" s="11" t="s">
        <v>17</v>
      </c>
      <c r="E7" s="12"/>
    </row>
    <row r="8" spans="1:5" ht="23.45" customHeight="1">
      <c r="A8" s="14">
        <v>6</v>
      </c>
      <c r="B8" s="15" t="s">
        <v>18</v>
      </c>
      <c r="C8" s="16">
        <v>46080</v>
      </c>
      <c r="D8" s="17" t="s">
        <v>7</v>
      </c>
      <c r="E8" s="18" t="s">
        <v>19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15"/>
  <sheetViews>
    <sheetView showGridLines="0" tabSelected="1" zoomScale="60" zoomScaleNormal="60" workbookViewId="0">
      <selection activeCell="R24" sqref="R24"/>
    </sheetView>
  </sheetViews>
  <sheetFormatPr defaultColWidth="7.42578125" defaultRowHeight="14.1" customHeight="1"/>
  <cols>
    <col min="1" max="1" width="19.85546875" style="19" bestFit="1" customWidth="1"/>
    <col min="2" max="2" width="46.140625" style="19" bestFit="1" customWidth="1"/>
    <col min="3" max="3" width="71.5703125" style="19" bestFit="1" customWidth="1"/>
    <col min="4" max="4" width="32.7109375" style="19" customWidth="1"/>
    <col min="5" max="5" width="71.5703125" style="19" customWidth="1"/>
    <col min="6" max="6" width="28.7109375" style="19" customWidth="1"/>
    <col min="7" max="7" width="28" style="19" customWidth="1"/>
    <col min="8" max="8" width="38" style="19" customWidth="1"/>
    <col min="9" max="10" width="39.42578125" style="19" customWidth="1"/>
    <col min="11" max="14" width="69.85546875" style="19" customWidth="1"/>
    <col min="15" max="15" width="71.140625" style="19" customWidth="1"/>
    <col min="16" max="17" width="70.85546875" style="19" customWidth="1"/>
    <col min="18" max="18" width="71.7109375" style="19" customWidth="1"/>
    <col min="19" max="19" width="59.42578125" style="52" customWidth="1"/>
    <col min="20" max="20" width="25.42578125" style="52" customWidth="1"/>
    <col min="21" max="21" width="30.28515625" style="52" customWidth="1"/>
    <col min="22" max="22" width="16.85546875" style="52" customWidth="1"/>
    <col min="23" max="23" width="38.28515625" style="52" customWidth="1"/>
    <col min="24" max="24" width="17.140625" style="52" customWidth="1"/>
    <col min="25" max="25" width="21.85546875" style="52" customWidth="1"/>
    <col min="26" max="26" width="20" style="52" customWidth="1"/>
    <col min="27" max="27" width="17.7109375" style="52" customWidth="1"/>
    <col min="28" max="28" width="14.85546875" style="52" hidden="1" customWidth="1"/>
    <col min="29" max="29" width="20" style="52" hidden="1" customWidth="1"/>
    <col min="30" max="30" width="19.42578125" style="52" hidden="1" customWidth="1"/>
    <col min="31" max="31" width="25.7109375" style="52" hidden="1" customWidth="1"/>
    <col min="32" max="32" width="21.140625" style="52" customWidth="1"/>
    <col min="33" max="33" width="22" style="52" customWidth="1"/>
    <col min="34" max="34" width="19.42578125" style="52" customWidth="1"/>
    <col min="35" max="35" width="32" style="52" customWidth="1"/>
    <col min="36" max="36" width="28.28515625" style="52" customWidth="1"/>
    <col min="37" max="37" width="17" style="52" customWidth="1"/>
    <col min="38" max="43" width="19.42578125" style="52" customWidth="1"/>
    <col min="44" max="48" width="19.7109375" style="52" customWidth="1"/>
    <col min="49" max="49" width="7.42578125" style="52" hidden="1" customWidth="1"/>
    <col min="50" max="53" width="19.7109375" style="52" customWidth="1"/>
    <col min="54" max="54" width="20" style="52" customWidth="1"/>
    <col min="55" max="56" width="7.42578125" style="52" customWidth="1"/>
    <col min="57" max="16384" width="7.42578125" style="52"/>
  </cols>
  <sheetData>
    <row r="1" spans="1:37" ht="106.35" customHeight="1" thickBot="1">
      <c r="A1" s="167" t="s">
        <v>20</v>
      </c>
      <c r="B1" s="168"/>
      <c r="C1" s="168"/>
      <c r="D1" s="168"/>
      <c r="E1" s="168"/>
      <c r="F1" s="168"/>
      <c r="G1" s="168"/>
      <c r="H1" s="169"/>
    </row>
    <row r="2" spans="1:37" ht="13.7" customHeight="1" thickBot="1">
      <c r="A2" s="20"/>
      <c r="B2" s="21"/>
      <c r="C2" s="21"/>
      <c r="D2" s="21"/>
      <c r="E2" s="21"/>
      <c r="F2" s="21"/>
      <c r="G2" s="21"/>
      <c r="H2" s="22"/>
    </row>
    <row r="3" spans="1:37" ht="30" customHeight="1">
      <c r="A3" s="164" t="s">
        <v>21</v>
      </c>
      <c r="B3" s="165"/>
      <c r="C3" s="165"/>
      <c r="D3" s="165"/>
      <c r="E3" s="165"/>
      <c r="F3" s="165"/>
      <c r="G3" s="165"/>
      <c r="H3" s="166"/>
    </row>
    <row r="4" spans="1:37" ht="24.95" customHeight="1">
      <c r="A4" s="23" t="s">
        <v>22</v>
      </c>
      <c r="B4" s="24" t="s">
        <v>23</v>
      </c>
      <c r="C4" s="25" t="s">
        <v>24</v>
      </c>
      <c r="D4" s="26">
        <v>65156</v>
      </c>
      <c r="E4" s="25" t="s">
        <v>25</v>
      </c>
      <c r="F4" s="24" t="s">
        <v>26</v>
      </c>
      <c r="G4" s="25" t="s">
        <v>27</v>
      </c>
      <c r="H4" s="27">
        <v>13</v>
      </c>
    </row>
    <row r="5" spans="1:37" ht="24.95" customHeight="1" thickBot="1">
      <c r="A5" s="28" t="s">
        <v>28</v>
      </c>
      <c r="B5" s="29" t="s">
        <v>29</v>
      </c>
      <c r="C5" s="30" t="s">
        <v>30</v>
      </c>
      <c r="D5" s="31">
        <v>287310</v>
      </c>
      <c r="E5" s="30" t="s">
        <v>31</v>
      </c>
      <c r="F5" s="32">
        <v>404</v>
      </c>
      <c r="G5" s="30" t="s">
        <v>32</v>
      </c>
      <c r="H5" s="33">
        <v>46118</v>
      </c>
    </row>
    <row r="7" spans="1:37" ht="30" customHeight="1">
      <c r="A7" s="170" t="s">
        <v>33</v>
      </c>
      <c r="B7" s="171"/>
      <c r="C7" s="171"/>
      <c r="D7" s="171"/>
      <c r="E7" s="171"/>
      <c r="F7" s="171"/>
      <c r="G7" s="172"/>
      <c r="H7" s="173"/>
      <c r="I7" s="173"/>
      <c r="J7" s="173"/>
      <c r="K7" s="52"/>
      <c r="L7" s="52"/>
      <c r="M7" s="52"/>
      <c r="N7" s="52"/>
      <c r="O7" s="52"/>
      <c r="P7" s="52"/>
      <c r="Q7" s="52"/>
      <c r="R7" s="52"/>
    </row>
    <row r="8" spans="1:37" ht="24.95" customHeight="1">
      <c r="A8" s="34" t="s">
        <v>34</v>
      </c>
      <c r="B8" s="35" t="s">
        <v>35</v>
      </c>
      <c r="C8" s="36" t="s">
        <v>36</v>
      </c>
      <c r="D8" s="35" t="s">
        <v>37</v>
      </c>
      <c r="E8" s="36" t="s">
        <v>38</v>
      </c>
      <c r="F8" s="35" t="s">
        <v>39</v>
      </c>
      <c r="G8" s="35" t="s">
        <v>40</v>
      </c>
      <c r="H8" s="35" t="s">
        <v>41</v>
      </c>
      <c r="I8" s="37" t="s">
        <v>42</v>
      </c>
      <c r="J8" s="38" t="s">
        <v>43</v>
      </c>
      <c r="K8" s="52"/>
      <c r="L8" s="52"/>
      <c r="M8" s="52"/>
      <c r="N8" s="52"/>
      <c r="O8" s="52"/>
      <c r="P8" s="52"/>
      <c r="Q8" s="52"/>
      <c r="R8" s="52"/>
    </row>
    <row r="9" spans="1:37" ht="24.95" customHeight="1">
      <c r="A9" s="39">
        <v>1</v>
      </c>
      <c r="B9" s="40" t="s">
        <v>44</v>
      </c>
      <c r="C9" s="41" t="s">
        <v>45</v>
      </c>
      <c r="D9" s="42" t="s">
        <v>46</v>
      </c>
      <c r="E9" s="43">
        <v>46150</v>
      </c>
      <c r="F9" s="41" t="s">
        <v>47</v>
      </c>
      <c r="G9" s="42" t="s">
        <v>48</v>
      </c>
      <c r="H9" s="42" t="s">
        <v>49</v>
      </c>
      <c r="I9" s="24" t="s">
        <v>50</v>
      </c>
      <c r="J9" s="44" t="s">
        <v>51</v>
      </c>
      <c r="K9" s="52"/>
      <c r="L9" s="52"/>
      <c r="M9" s="52"/>
      <c r="N9" s="52"/>
      <c r="O9" s="52"/>
      <c r="P9" s="52"/>
      <c r="Q9" s="52"/>
      <c r="R9" s="52"/>
    </row>
    <row r="10" spans="1:37" ht="24.95" customHeight="1">
      <c r="A10" s="45">
        <v>2</v>
      </c>
      <c r="B10" s="46" t="s">
        <v>52</v>
      </c>
      <c r="C10" s="25" t="s">
        <v>53</v>
      </c>
      <c r="D10" s="24" t="s">
        <v>54</v>
      </c>
      <c r="E10" s="47">
        <v>46178</v>
      </c>
      <c r="F10" s="25" t="s">
        <v>55</v>
      </c>
      <c r="G10" s="24" t="s">
        <v>56</v>
      </c>
      <c r="H10" s="24" t="s">
        <v>49</v>
      </c>
      <c r="I10" s="24" t="s">
        <v>57</v>
      </c>
      <c r="J10" s="44" t="s">
        <v>58</v>
      </c>
      <c r="K10" s="52"/>
      <c r="L10" s="52"/>
      <c r="M10" s="52"/>
      <c r="N10" s="52"/>
      <c r="O10" s="52"/>
      <c r="P10" s="52"/>
      <c r="Q10" s="52"/>
      <c r="R10" s="52"/>
    </row>
    <row r="11" spans="1:37" ht="24.95" customHeight="1">
      <c r="A11" s="48">
        <v>3</v>
      </c>
      <c r="B11" s="46" t="s">
        <v>59</v>
      </c>
      <c r="C11" s="25" t="s">
        <v>60</v>
      </c>
      <c r="D11" s="24" t="s">
        <v>61</v>
      </c>
      <c r="E11" s="47">
        <v>46209</v>
      </c>
      <c r="F11" s="25" t="s">
        <v>62</v>
      </c>
      <c r="G11" s="24" t="s">
        <v>63</v>
      </c>
      <c r="H11" s="24" t="s">
        <v>49</v>
      </c>
      <c r="I11" s="24" t="s">
        <v>64</v>
      </c>
      <c r="J11" s="44" t="s">
        <v>65</v>
      </c>
      <c r="K11" s="52"/>
      <c r="L11" s="52"/>
      <c r="M11" s="52"/>
      <c r="N11" s="52"/>
      <c r="O11" s="52"/>
      <c r="P11" s="52"/>
      <c r="Q11" s="52"/>
      <c r="R11" s="52"/>
    </row>
    <row r="12" spans="1:37" ht="24.95" customHeight="1" thickBot="1">
      <c r="A12" s="49" t="s">
        <v>66</v>
      </c>
      <c r="B12" s="30" t="s">
        <v>67</v>
      </c>
      <c r="C12" s="30" t="s">
        <v>68</v>
      </c>
      <c r="D12" s="29" t="s">
        <v>69</v>
      </c>
      <c r="E12" s="50">
        <v>46241</v>
      </c>
      <c r="F12" s="30" t="s">
        <v>70</v>
      </c>
      <c r="G12" s="29" t="s">
        <v>71</v>
      </c>
      <c r="H12" s="29" t="s">
        <v>49</v>
      </c>
      <c r="I12" s="29" t="s">
        <v>72</v>
      </c>
      <c r="J12" s="51" t="s">
        <v>73</v>
      </c>
      <c r="K12" s="52"/>
      <c r="L12" s="52"/>
      <c r="M12" s="52"/>
      <c r="N12" s="52"/>
      <c r="O12" s="52"/>
      <c r="P12" s="52"/>
      <c r="Q12" s="52"/>
      <c r="R12" s="52"/>
    </row>
    <row r="13" spans="1:37" ht="14.1" customHeight="1" thickBo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</row>
    <row r="14" spans="1:37" ht="26.1" customHeight="1" thickBot="1">
      <c r="A14" s="134" t="s">
        <v>74</v>
      </c>
      <c r="B14" s="133" t="s">
        <v>75</v>
      </c>
      <c r="C14" s="133" t="s">
        <v>34</v>
      </c>
      <c r="D14" s="135" t="s">
        <v>76</v>
      </c>
      <c r="E14" s="133" t="s">
        <v>77</v>
      </c>
      <c r="F14" s="133" t="s">
        <v>78</v>
      </c>
      <c r="G14" s="133" t="s">
        <v>79</v>
      </c>
      <c r="H14" s="136" t="s">
        <v>80</v>
      </c>
      <c r="I14" s="137" t="s">
        <v>81</v>
      </c>
      <c r="J14" s="137" t="s">
        <v>82</v>
      </c>
      <c r="K14" s="163" t="s">
        <v>35</v>
      </c>
      <c r="L14" s="162"/>
      <c r="M14" s="162"/>
      <c r="N14" s="174" t="s">
        <v>83</v>
      </c>
      <c r="O14" s="162"/>
      <c r="P14" s="163" t="s">
        <v>84</v>
      </c>
      <c r="Q14" s="162"/>
      <c r="R14" s="162"/>
      <c r="S14" s="174" t="s">
        <v>85</v>
      </c>
      <c r="T14" s="162"/>
      <c r="U14" s="163" t="s">
        <v>39</v>
      </c>
      <c r="V14" s="162"/>
      <c r="W14" s="162"/>
      <c r="X14" s="162"/>
      <c r="Y14" s="159" t="s">
        <v>40</v>
      </c>
      <c r="Z14" s="157"/>
      <c r="AA14" s="158"/>
      <c r="AB14" s="161" t="s">
        <v>41</v>
      </c>
      <c r="AC14" s="162"/>
      <c r="AD14" s="162"/>
      <c r="AE14" s="162"/>
      <c r="AF14" s="156" t="s">
        <v>86</v>
      </c>
      <c r="AG14" s="157"/>
      <c r="AH14" s="158"/>
      <c r="AI14" s="159" t="s">
        <v>87</v>
      </c>
      <c r="AJ14" s="160"/>
      <c r="AK14" s="53"/>
    </row>
    <row r="15" spans="1:37" ht="47.1" customHeight="1" thickBot="1">
      <c r="A15" s="138" t="s">
        <v>74</v>
      </c>
      <c r="B15" s="133" t="s">
        <v>75</v>
      </c>
      <c r="C15" s="133" t="s">
        <v>34</v>
      </c>
      <c r="D15" s="135" t="s">
        <v>76</v>
      </c>
      <c r="E15" s="133" t="s">
        <v>77</v>
      </c>
      <c r="F15" s="133" t="s">
        <v>78</v>
      </c>
      <c r="G15" s="133" t="s">
        <v>79</v>
      </c>
      <c r="H15" s="136" t="s">
        <v>80</v>
      </c>
      <c r="I15" s="137" t="s">
        <v>81</v>
      </c>
      <c r="J15" s="137" t="s">
        <v>82</v>
      </c>
      <c r="K15" s="54" t="s">
        <v>88</v>
      </c>
      <c r="L15" s="54" t="s">
        <v>89</v>
      </c>
      <c r="M15" s="54" t="s">
        <v>90</v>
      </c>
      <c r="N15" s="55" t="s">
        <v>91</v>
      </c>
      <c r="O15" s="54" t="s">
        <v>92</v>
      </c>
      <c r="P15" s="54" t="s">
        <v>1420</v>
      </c>
      <c r="Q15" s="54" t="s">
        <v>1421</v>
      </c>
      <c r="R15" s="54" t="s">
        <v>1422</v>
      </c>
      <c r="S15" s="55" t="s">
        <v>93</v>
      </c>
      <c r="T15" s="54" t="s">
        <v>1423</v>
      </c>
      <c r="U15" s="54" t="s">
        <v>94</v>
      </c>
      <c r="V15" s="54" t="s">
        <v>1424</v>
      </c>
      <c r="W15" s="54" t="s">
        <v>1425</v>
      </c>
      <c r="X15" s="54" t="s">
        <v>1426</v>
      </c>
      <c r="Y15" s="54" t="s">
        <v>1427</v>
      </c>
      <c r="Z15" s="54" t="s">
        <v>1428</v>
      </c>
      <c r="AA15" s="54" t="s">
        <v>1429</v>
      </c>
      <c r="AB15" s="54" t="s">
        <v>1430</v>
      </c>
      <c r="AC15" s="54" t="s">
        <v>1431</v>
      </c>
      <c r="AD15" s="54" t="s">
        <v>1432</v>
      </c>
      <c r="AE15" s="54" t="s">
        <v>95</v>
      </c>
      <c r="AF15" s="54" t="s">
        <v>96</v>
      </c>
      <c r="AG15" s="54" t="s">
        <v>97</v>
      </c>
      <c r="AH15" s="54" t="s">
        <v>98</v>
      </c>
      <c r="AI15" s="54" t="s">
        <v>99</v>
      </c>
      <c r="AJ15" s="142" t="s">
        <v>1433</v>
      </c>
      <c r="AK15" s="56"/>
    </row>
    <row r="16" spans="1:37" ht="25.5" customHeight="1">
      <c r="A16" s="139">
        <v>1</v>
      </c>
      <c r="B16" s="57" t="s">
        <v>100</v>
      </c>
      <c r="C16" s="58">
        <v>4</v>
      </c>
      <c r="D16" s="59" t="s">
        <v>101</v>
      </c>
      <c r="E16" s="59" t="s">
        <v>102</v>
      </c>
      <c r="F16" s="59"/>
      <c r="G16" s="60" t="s">
        <v>103</v>
      </c>
      <c r="H16" s="61">
        <v>52091</v>
      </c>
      <c r="I16" s="62">
        <v>0.1</v>
      </c>
      <c r="J16" s="60"/>
      <c r="K16" s="63" t="s">
        <v>104</v>
      </c>
      <c r="L16" s="64">
        <v>46059</v>
      </c>
      <c r="M16" s="65">
        <v>46051</v>
      </c>
      <c r="N16" s="66" cm="1">
        <f t="array" ref="N16">WORKDAY(M16,10)</f>
        <v>46065</v>
      </c>
      <c r="O16" s="67">
        <v>0</v>
      </c>
      <c r="P16" s="68">
        <v>0</v>
      </c>
      <c r="Q16" s="69">
        <v>46052</v>
      </c>
      <c r="R16" s="70">
        <v>46121</v>
      </c>
      <c r="S16" s="71">
        <v>46128</v>
      </c>
      <c r="T16" s="67">
        <v>0</v>
      </c>
      <c r="U16" s="72" t="s">
        <v>105</v>
      </c>
      <c r="V16" s="73">
        <v>0</v>
      </c>
      <c r="W16" s="74">
        <v>46069</v>
      </c>
      <c r="X16" s="75">
        <v>46125</v>
      </c>
      <c r="Y16" s="68">
        <v>0</v>
      </c>
      <c r="Z16" s="74">
        <v>46132</v>
      </c>
      <c r="AA16" s="76">
        <v>46188</v>
      </c>
      <c r="AB16" s="68">
        <v>0</v>
      </c>
      <c r="AC16" s="59" t="s">
        <v>49</v>
      </c>
      <c r="AD16" s="59" t="s">
        <v>49</v>
      </c>
      <c r="AE16" s="76"/>
      <c r="AF16" s="68">
        <v>0</v>
      </c>
      <c r="AG16" s="74" cm="1">
        <f t="array" ref="AG16">WORKDAY(AA16,2)</f>
        <v>46190</v>
      </c>
      <c r="AH16" s="76" cm="1">
        <f t="array" ref="AH16">WORKDAY(AG16,1)</f>
        <v>46191</v>
      </c>
      <c r="AI16" s="71" cm="1">
        <f t="array" ref="AI16">WORKDAY(AH16,1)</f>
        <v>46192</v>
      </c>
      <c r="AJ16" s="143"/>
      <c r="AK16" s="56"/>
    </row>
    <row r="17" spans="1:37" ht="25.5" customHeight="1">
      <c r="A17" s="140" cm="1">
        <f t="array" ref="A17">A16+1</f>
        <v>2</v>
      </c>
      <c r="B17" s="77" t="s">
        <v>110</v>
      </c>
      <c r="C17" s="95">
        <v>3</v>
      </c>
      <c r="D17" s="79" t="s">
        <v>111</v>
      </c>
      <c r="E17" s="79" t="s">
        <v>112</v>
      </c>
      <c r="F17" s="79"/>
      <c r="G17" s="80" t="s">
        <v>113</v>
      </c>
      <c r="H17" s="81">
        <v>32373</v>
      </c>
      <c r="I17" s="82">
        <v>0.3</v>
      </c>
      <c r="J17" s="80"/>
      <c r="K17" s="83" t="s">
        <v>104</v>
      </c>
      <c r="L17" s="84">
        <v>46036</v>
      </c>
      <c r="M17" s="85">
        <v>46069</v>
      </c>
      <c r="N17" s="86" cm="1">
        <f t="array" ref="N17">WORKDAY(M17,10)</f>
        <v>46083</v>
      </c>
      <c r="O17" s="87">
        <v>0</v>
      </c>
      <c r="P17" s="88">
        <v>0</v>
      </c>
      <c r="Q17" s="89">
        <v>46070</v>
      </c>
      <c r="R17" s="96">
        <v>46121</v>
      </c>
      <c r="S17" s="86">
        <v>46128</v>
      </c>
      <c r="T17" s="87">
        <v>0</v>
      </c>
      <c r="U17" s="91" t="s">
        <v>114</v>
      </c>
      <c r="V17" s="92">
        <v>0.2</v>
      </c>
      <c r="W17" s="93">
        <v>46080</v>
      </c>
      <c r="X17" s="94">
        <v>46125</v>
      </c>
      <c r="Y17" s="88">
        <v>0</v>
      </c>
      <c r="Z17" s="93">
        <v>46132</v>
      </c>
      <c r="AA17" s="90">
        <v>46188</v>
      </c>
      <c r="AB17" s="88">
        <v>0</v>
      </c>
      <c r="AC17" s="79" t="s">
        <v>49</v>
      </c>
      <c r="AD17" s="79" t="s">
        <v>49</v>
      </c>
      <c r="AE17" s="90"/>
      <c r="AF17" s="88">
        <v>0</v>
      </c>
      <c r="AG17" s="93" cm="1">
        <f t="array" ref="AG17">WORKDAY(AA17,2)</f>
        <v>46190</v>
      </c>
      <c r="AH17" s="90" cm="1">
        <f t="array" ref="AH17">WORKDAY(AG17,1)</f>
        <v>46191</v>
      </c>
      <c r="AI17" s="86" cm="1">
        <f t="array" ref="AI17">WORKDAY(AH17,1)</f>
        <v>46192</v>
      </c>
      <c r="AJ17" s="144"/>
      <c r="AK17" s="56"/>
    </row>
    <row r="18" spans="1:37" ht="25.5" customHeight="1">
      <c r="A18" s="140" cm="1">
        <f t="array" ref="A18">A17+1</f>
        <v>3</v>
      </c>
      <c r="B18" s="77" t="s">
        <v>106</v>
      </c>
      <c r="C18" s="78">
        <v>4</v>
      </c>
      <c r="D18" s="79" t="s">
        <v>107</v>
      </c>
      <c r="E18" s="79" t="s">
        <v>108</v>
      </c>
      <c r="F18" s="79"/>
      <c r="G18" s="80" t="s">
        <v>109</v>
      </c>
      <c r="H18" s="81">
        <v>46581</v>
      </c>
      <c r="I18" s="82">
        <v>0.2</v>
      </c>
      <c r="J18" s="80"/>
      <c r="K18" s="83" t="s">
        <v>104</v>
      </c>
      <c r="L18" s="84">
        <v>46001</v>
      </c>
      <c r="M18" s="85">
        <v>46053</v>
      </c>
      <c r="N18" s="86" cm="1">
        <f t="array" ref="N18">WORKDAY(M18,10)</f>
        <v>46066</v>
      </c>
      <c r="O18" s="87">
        <v>0</v>
      </c>
      <c r="P18" s="88">
        <v>0</v>
      </c>
      <c r="Q18" s="89">
        <v>46055</v>
      </c>
      <c r="R18" s="90">
        <v>46121</v>
      </c>
      <c r="S18" s="86">
        <v>46128</v>
      </c>
      <c r="T18" s="87">
        <v>0</v>
      </c>
      <c r="U18" s="91" t="s">
        <v>105</v>
      </c>
      <c r="V18" s="92">
        <v>0</v>
      </c>
      <c r="W18" s="93">
        <v>46069</v>
      </c>
      <c r="X18" s="94">
        <v>46127</v>
      </c>
      <c r="Y18" s="88">
        <v>0</v>
      </c>
      <c r="Z18" s="93">
        <v>46134</v>
      </c>
      <c r="AA18" s="90">
        <v>46190</v>
      </c>
      <c r="AB18" s="88">
        <v>0</v>
      </c>
      <c r="AC18" s="79" t="s">
        <v>49</v>
      </c>
      <c r="AD18" s="79" t="s">
        <v>49</v>
      </c>
      <c r="AE18" s="90"/>
      <c r="AF18" s="88">
        <v>0</v>
      </c>
      <c r="AG18" s="93" cm="1">
        <f t="array" ref="AG18">WORKDAY(AA18,2)</f>
        <v>46192</v>
      </c>
      <c r="AH18" s="90" cm="1">
        <f t="array" ref="AH18">WORKDAY(AG18,1)</f>
        <v>46195</v>
      </c>
      <c r="AI18" s="86" cm="1">
        <f t="array" ref="AI18">WORKDAY(AH18,1)</f>
        <v>46196</v>
      </c>
      <c r="AJ18" s="144"/>
      <c r="AK18" s="56"/>
    </row>
    <row r="19" spans="1:37" ht="25.5" customHeight="1">
      <c r="A19" s="140" cm="1">
        <f t="array" ref="A19">A18+1</f>
        <v>4</v>
      </c>
      <c r="B19" s="77" t="s">
        <v>115</v>
      </c>
      <c r="C19" s="95">
        <v>3</v>
      </c>
      <c r="D19" s="79" t="s">
        <v>116</v>
      </c>
      <c r="E19" s="79" t="s">
        <v>117</v>
      </c>
      <c r="F19" s="79"/>
      <c r="G19" s="80" t="s">
        <v>113</v>
      </c>
      <c r="H19" s="81">
        <v>42091</v>
      </c>
      <c r="I19" s="82">
        <v>0.4</v>
      </c>
      <c r="J19" s="80"/>
      <c r="K19" s="83" t="s">
        <v>104</v>
      </c>
      <c r="L19" s="84">
        <v>46036</v>
      </c>
      <c r="M19" s="85">
        <v>46069</v>
      </c>
      <c r="N19" s="86" cm="1">
        <f t="array" ref="N19">WORKDAY(M19,10)</f>
        <v>46083</v>
      </c>
      <c r="O19" s="87">
        <v>0</v>
      </c>
      <c r="P19" s="88">
        <v>0</v>
      </c>
      <c r="Q19" s="89">
        <v>46070</v>
      </c>
      <c r="R19" s="96">
        <v>46121</v>
      </c>
      <c r="S19" s="86">
        <v>46128</v>
      </c>
      <c r="T19" s="87">
        <v>0</v>
      </c>
      <c r="U19" s="91" t="s">
        <v>114</v>
      </c>
      <c r="V19" s="92">
        <v>0.2</v>
      </c>
      <c r="W19" s="93">
        <v>46080</v>
      </c>
      <c r="X19" s="94">
        <v>46132</v>
      </c>
      <c r="Y19" s="88">
        <v>0</v>
      </c>
      <c r="Z19" s="93">
        <v>46134</v>
      </c>
      <c r="AA19" s="90">
        <v>46190</v>
      </c>
      <c r="AB19" s="88">
        <v>0</v>
      </c>
      <c r="AC19" s="79" t="s">
        <v>49</v>
      </c>
      <c r="AD19" s="79" t="s">
        <v>49</v>
      </c>
      <c r="AE19" s="90"/>
      <c r="AF19" s="88">
        <v>0</v>
      </c>
      <c r="AG19" s="93" cm="1">
        <f t="array" ref="AG19">WORKDAY(AA19,2)</f>
        <v>46192</v>
      </c>
      <c r="AH19" s="90" cm="1">
        <f t="array" ref="AH19">WORKDAY(AG19,1)</f>
        <v>46195</v>
      </c>
      <c r="AI19" s="86" cm="1">
        <f t="array" ref="AI19">WORKDAY(AH19,1)</f>
        <v>46196</v>
      </c>
      <c r="AJ19" s="144"/>
      <c r="AK19" s="56"/>
    </row>
    <row r="20" spans="1:37" ht="25.5" customHeight="1">
      <c r="A20" s="140" cm="1">
        <f t="array" ref="A20">A19+1</f>
        <v>5</v>
      </c>
      <c r="B20" s="79" t="s">
        <v>118</v>
      </c>
      <c r="C20" s="97">
        <v>1</v>
      </c>
      <c r="D20" s="79" t="s">
        <v>119</v>
      </c>
      <c r="E20" s="79" t="s">
        <v>120</v>
      </c>
      <c r="F20" s="79"/>
      <c r="G20" s="80" t="s">
        <v>121</v>
      </c>
      <c r="H20" s="81">
        <v>51109</v>
      </c>
      <c r="I20" s="82">
        <v>1</v>
      </c>
      <c r="J20" s="98"/>
      <c r="K20" s="99" t="s">
        <v>104</v>
      </c>
      <c r="L20" s="84">
        <v>46099</v>
      </c>
      <c r="M20" s="85">
        <v>46472</v>
      </c>
      <c r="N20" s="86">
        <v>46113</v>
      </c>
      <c r="O20" s="87">
        <v>0</v>
      </c>
      <c r="P20" s="88">
        <v>0</v>
      </c>
      <c r="Q20" s="89">
        <v>46113</v>
      </c>
      <c r="R20" s="96">
        <v>46129</v>
      </c>
      <c r="S20" s="86" cm="1">
        <f t="array" ref="S20">WORKDAY(R20,12)</f>
        <v>46147</v>
      </c>
      <c r="T20" s="87">
        <v>0</v>
      </c>
      <c r="U20" s="91" t="s">
        <v>105</v>
      </c>
      <c r="V20" s="92">
        <v>0</v>
      </c>
      <c r="W20" s="93" cm="1">
        <f t="array" ref="W20">WORKDAY(X20,-20)</f>
        <v>46118</v>
      </c>
      <c r="X20" s="80" t="s">
        <v>122</v>
      </c>
      <c r="Y20" s="88">
        <v>0</v>
      </c>
      <c r="Z20" s="93">
        <v>46149</v>
      </c>
      <c r="AA20" s="90">
        <v>46204</v>
      </c>
      <c r="AB20" s="88">
        <v>0</v>
      </c>
      <c r="AC20" s="79" t="s">
        <v>49</v>
      </c>
      <c r="AD20" s="79" t="s">
        <v>49</v>
      </c>
      <c r="AE20" s="90"/>
      <c r="AF20" s="88">
        <v>0</v>
      </c>
      <c r="AG20" s="93" cm="1">
        <f t="array" ref="AG20">WORKDAY(AA20,2)</f>
        <v>46206</v>
      </c>
      <c r="AH20" s="90" cm="1">
        <f t="array" ref="AH20">WORKDAY(AG20,1)</f>
        <v>46209</v>
      </c>
      <c r="AI20" s="86" cm="1">
        <f t="array" ref="AI20">WORKDAY(AH20,1)</f>
        <v>46210</v>
      </c>
      <c r="AJ20" s="144"/>
      <c r="AK20" s="56"/>
    </row>
    <row r="21" spans="1:37" ht="25.5" customHeight="1">
      <c r="A21" s="140" cm="1">
        <f t="array" ref="A21">A20+1</f>
        <v>6</v>
      </c>
      <c r="B21" s="79" t="s">
        <v>1119</v>
      </c>
      <c r="C21" s="97">
        <v>1</v>
      </c>
      <c r="D21" s="79" t="s">
        <v>1120</v>
      </c>
      <c r="E21" s="79" t="s">
        <v>1121</v>
      </c>
      <c r="F21" s="79" t="s">
        <v>78</v>
      </c>
      <c r="G21" s="80" t="s">
        <v>1122</v>
      </c>
      <c r="H21" s="81">
        <v>67516</v>
      </c>
      <c r="I21" s="109"/>
      <c r="J21" s="110">
        <v>1</v>
      </c>
      <c r="K21" s="100">
        <v>0.6</v>
      </c>
      <c r="L21" s="84">
        <v>46099</v>
      </c>
      <c r="M21" s="85">
        <v>46119</v>
      </c>
      <c r="N21" s="86" cm="1">
        <f t="array" ref="N21">WORKDAY(M21,2)</f>
        <v>46121</v>
      </c>
      <c r="O21" s="87">
        <v>0</v>
      </c>
      <c r="P21" s="88">
        <v>0</v>
      </c>
      <c r="Q21" s="89">
        <v>46113</v>
      </c>
      <c r="R21" s="96">
        <v>46125</v>
      </c>
      <c r="S21" s="86" cm="1">
        <f t="array" ref="S21">WORKDAY(R21,5)</f>
        <v>46132</v>
      </c>
      <c r="T21" s="87">
        <v>0</v>
      </c>
      <c r="U21" s="91" t="s">
        <v>105</v>
      </c>
      <c r="V21" s="92">
        <v>0</v>
      </c>
      <c r="W21" s="93" cm="1">
        <f t="array" ref="W21">WORKDAY(N21,1)</f>
        <v>46122</v>
      </c>
      <c r="X21" s="94">
        <v>46132</v>
      </c>
      <c r="Y21" s="88">
        <v>0</v>
      </c>
      <c r="Z21" s="93">
        <v>46139</v>
      </c>
      <c r="AA21" s="90">
        <v>46204</v>
      </c>
      <c r="AB21" s="88">
        <v>0</v>
      </c>
      <c r="AC21" s="79" t="s">
        <v>49</v>
      </c>
      <c r="AD21" s="79" t="s">
        <v>49</v>
      </c>
      <c r="AE21" s="90"/>
      <c r="AF21" s="88">
        <v>0</v>
      </c>
      <c r="AG21" s="93" cm="1">
        <f t="array" ref="AG21">WORKDAY(AA21,2)</f>
        <v>46206</v>
      </c>
      <c r="AH21" s="90" cm="1">
        <f t="array" ref="AH21">WORKDAY(AG21,1)</f>
        <v>46209</v>
      </c>
      <c r="AI21" s="86" cm="1">
        <f t="array" ref="AI21">WORKDAY(AH21,1)</f>
        <v>46210</v>
      </c>
      <c r="AJ21" s="144"/>
      <c r="AK21" s="56"/>
    </row>
    <row r="22" spans="1:37" ht="25.5" customHeight="1">
      <c r="A22" s="140" cm="1">
        <f t="array" ref="A22">A21+1</f>
        <v>7</v>
      </c>
      <c r="B22" s="79" t="s">
        <v>1123</v>
      </c>
      <c r="C22" s="97">
        <v>1</v>
      </c>
      <c r="D22" s="79" t="s">
        <v>1120</v>
      </c>
      <c r="E22" s="79" t="s">
        <v>1124</v>
      </c>
      <c r="F22" s="79" t="s">
        <v>78</v>
      </c>
      <c r="G22" s="80" t="s">
        <v>1122</v>
      </c>
      <c r="H22" s="81">
        <v>67516</v>
      </c>
      <c r="I22" s="109"/>
      <c r="J22" s="110">
        <v>2</v>
      </c>
      <c r="K22" s="107" t="s">
        <v>1125</v>
      </c>
      <c r="L22" s="84">
        <v>46099</v>
      </c>
      <c r="M22" s="85">
        <v>46115</v>
      </c>
      <c r="N22" s="86">
        <v>46119</v>
      </c>
      <c r="O22" s="87">
        <v>0</v>
      </c>
      <c r="P22" s="88">
        <v>0</v>
      </c>
      <c r="Q22" s="89">
        <v>46113</v>
      </c>
      <c r="R22" s="96">
        <v>46125</v>
      </c>
      <c r="S22" s="86" cm="1">
        <f t="array" ref="S22">WORKDAY(R22,5)</f>
        <v>46132</v>
      </c>
      <c r="T22" s="87">
        <v>0</v>
      </c>
      <c r="U22" s="91" t="s">
        <v>105</v>
      </c>
      <c r="V22" s="92">
        <v>0</v>
      </c>
      <c r="W22" s="93" cm="1">
        <f t="array" ref="W22">WORKDAY(N22,1)</f>
        <v>46120</v>
      </c>
      <c r="X22" s="94">
        <v>46133</v>
      </c>
      <c r="Y22" s="88">
        <v>0</v>
      </c>
      <c r="Z22" s="93">
        <v>46139</v>
      </c>
      <c r="AA22" s="90">
        <v>46204</v>
      </c>
      <c r="AB22" s="88">
        <v>0</v>
      </c>
      <c r="AC22" s="79" t="s">
        <v>49</v>
      </c>
      <c r="AD22" s="79" t="s">
        <v>49</v>
      </c>
      <c r="AE22" s="90"/>
      <c r="AF22" s="88">
        <v>0</v>
      </c>
      <c r="AG22" s="93" cm="1">
        <f t="array" ref="AG22">WORKDAY(AA22,2)</f>
        <v>46206</v>
      </c>
      <c r="AH22" s="90" cm="1">
        <f t="array" ref="AH22">WORKDAY(AG22,1)</f>
        <v>46209</v>
      </c>
      <c r="AI22" s="86" cm="1">
        <f t="array" ref="AI22">WORKDAY(AH22,1)</f>
        <v>46210</v>
      </c>
      <c r="AJ22" s="144"/>
      <c r="AK22" s="56"/>
    </row>
    <row r="23" spans="1:37" ht="25.5" customHeight="1">
      <c r="A23" s="140" cm="1">
        <f t="array" ref="A23">A22+1</f>
        <v>8</v>
      </c>
      <c r="B23" s="79" t="s">
        <v>123</v>
      </c>
      <c r="C23" s="97">
        <v>1</v>
      </c>
      <c r="D23" s="79" t="s">
        <v>124</v>
      </c>
      <c r="E23" s="79" t="s">
        <v>125</v>
      </c>
      <c r="F23" s="79"/>
      <c r="G23" s="80" t="s">
        <v>121</v>
      </c>
      <c r="H23" s="81">
        <v>51109</v>
      </c>
      <c r="I23" s="82">
        <v>2</v>
      </c>
      <c r="J23" s="98"/>
      <c r="K23" s="99" t="s">
        <v>126</v>
      </c>
      <c r="L23" s="84">
        <v>46099</v>
      </c>
      <c r="M23" s="85">
        <v>46472</v>
      </c>
      <c r="N23" s="86">
        <v>46113</v>
      </c>
      <c r="O23" s="87">
        <v>0</v>
      </c>
      <c r="P23" s="88">
        <v>0</v>
      </c>
      <c r="Q23" s="89">
        <v>46113</v>
      </c>
      <c r="R23" s="96">
        <v>46129</v>
      </c>
      <c r="S23" s="86" cm="1">
        <f t="array" ref="S23">WORKDAY(R23,12)</f>
        <v>46147</v>
      </c>
      <c r="T23" s="87">
        <v>0</v>
      </c>
      <c r="U23" s="91" t="s">
        <v>105</v>
      </c>
      <c r="V23" s="92">
        <v>0</v>
      </c>
      <c r="W23" s="93" cm="1">
        <f t="array" ref="W23">WORKDAY(X23,-20)</f>
        <v>46119</v>
      </c>
      <c r="X23" s="80" t="s">
        <v>127</v>
      </c>
      <c r="Y23" s="88">
        <v>0</v>
      </c>
      <c r="Z23" s="93">
        <v>46150</v>
      </c>
      <c r="AA23" s="90">
        <v>46205</v>
      </c>
      <c r="AB23" s="88">
        <v>0</v>
      </c>
      <c r="AC23" s="79" t="s">
        <v>49</v>
      </c>
      <c r="AD23" s="79" t="s">
        <v>49</v>
      </c>
      <c r="AE23" s="90"/>
      <c r="AF23" s="88">
        <v>0</v>
      </c>
      <c r="AG23" s="93" cm="1">
        <f t="array" ref="AG23">WORKDAY(AA23,2)</f>
        <v>46209</v>
      </c>
      <c r="AH23" s="90" cm="1">
        <f t="array" ref="AH23">WORKDAY(AG23,1)</f>
        <v>46210</v>
      </c>
      <c r="AI23" s="86" cm="1">
        <f t="array" ref="AI23">WORKDAY(AH23,1)</f>
        <v>46211</v>
      </c>
      <c r="AJ23" s="144"/>
      <c r="AK23" s="56"/>
    </row>
    <row r="24" spans="1:37" ht="25.5" customHeight="1">
      <c r="A24" s="140" cm="1">
        <f t="array" ref="A24">A23+1</f>
        <v>9</v>
      </c>
      <c r="B24" s="79" t="s">
        <v>1126</v>
      </c>
      <c r="C24" s="97">
        <v>1</v>
      </c>
      <c r="D24" s="79" t="s">
        <v>1120</v>
      </c>
      <c r="E24" s="79" t="s">
        <v>1127</v>
      </c>
      <c r="F24" s="79" t="s">
        <v>78</v>
      </c>
      <c r="G24" s="80" t="s">
        <v>1122</v>
      </c>
      <c r="H24" s="81">
        <v>67516</v>
      </c>
      <c r="I24" s="109"/>
      <c r="J24" s="110">
        <v>3</v>
      </c>
      <c r="K24" s="107" t="s">
        <v>1125</v>
      </c>
      <c r="L24" s="84">
        <v>46099</v>
      </c>
      <c r="M24" s="85">
        <v>46115</v>
      </c>
      <c r="N24" s="86">
        <v>46119</v>
      </c>
      <c r="O24" s="87">
        <v>0</v>
      </c>
      <c r="P24" s="88">
        <v>0</v>
      </c>
      <c r="Q24" s="89">
        <v>46113</v>
      </c>
      <c r="R24" s="96">
        <v>46125</v>
      </c>
      <c r="S24" s="86" cm="1">
        <f t="array" ref="S24">WORKDAY(R24,5)</f>
        <v>46132</v>
      </c>
      <c r="T24" s="87">
        <v>0</v>
      </c>
      <c r="U24" s="91" t="s">
        <v>105</v>
      </c>
      <c r="V24" s="92">
        <v>0</v>
      </c>
      <c r="W24" s="93" cm="1">
        <f t="array" ref="W24">WORKDAY(N24,1)</f>
        <v>46120</v>
      </c>
      <c r="X24" s="94">
        <v>46134</v>
      </c>
      <c r="Y24" s="88">
        <v>0</v>
      </c>
      <c r="Z24" s="93">
        <v>46139</v>
      </c>
      <c r="AA24" s="90">
        <v>46205</v>
      </c>
      <c r="AB24" s="88">
        <v>0</v>
      </c>
      <c r="AC24" s="79" t="s">
        <v>49</v>
      </c>
      <c r="AD24" s="79" t="s">
        <v>49</v>
      </c>
      <c r="AE24" s="90"/>
      <c r="AF24" s="88">
        <v>0</v>
      </c>
      <c r="AG24" s="93" cm="1">
        <f t="array" ref="AG24">WORKDAY(AA24,2)</f>
        <v>46209</v>
      </c>
      <c r="AH24" s="90" cm="1">
        <f t="array" ref="AH24">WORKDAY(AG24,1)</f>
        <v>46210</v>
      </c>
      <c r="AI24" s="86" cm="1">
        <f t="array" ref="AI24">WORKDAY(AH24,1)</f>
        <v>46211</v>
      </c>
      <c r="AJ24" s="144"/>
      <c r="AK24" s="56"/>
    </row>
    <row r="25" spans="1:37" ht="25.5" customHeight="1">
      <c r="A25" s="140" cm="1">
        <f t="array" ref="A25">A24+1</f>
        <v>10</v>
      </c>
      <c r="B25" s="79" t="s">
        <v>1128</v>
      </c>
      <c r="C25" s="97">
        <v>1</v>
      </c>
      <c r="D25" s="79" t="s">
        <v>1120</v>
      </c>
      <c r="E25" s="79" t="s">
        <v>1129</v>
      </c>
      <c r="F25" s="79" t="s">
        <v>78</v>
      </c>
      <c r="G25" s="80" t="s">
        <v>1122</v>
      </c>
      <c r="H25" s="81">
        <v>67516</v>
      </c>
      <c r="I25" s="109"/>
      <c r="J25" s="110">
        <v>4</v>
      </c>
      <c r="K25" s="107" t="s">
        <v>1125</v>
      </c>
      <c r="L25" s="84">
        <v>46099</v>
      </c>
      <c r="M25" s="85">
        <v>46115</v>
      </c>
      <c r="N25" s="86">
        <v>46119</v>
      </c>
      <c r="O25" s="87">
        <v>0</v>
      </c>
      <c r="P25" s="88">
        <v>0</v>
      </c>
      <c r="Q25" s="89">
        <v>46113</v>
      </c>
      <c r="R25" s="96">
        <v>46125</v>
      </c>
      <c r="S25" s="86" cm="1">
        <f t="array" ref="S25">WORKDAY(R25,5)</f>
        <v>46132</v>
      </c>
      <c r="T25" s="87">
        <v>0</v>
      </c>
      <c r="U25" s="91" t="s">
        <v>105</v>
      </c>
      <c r="V25" s="92">
        <v>0</v>
      </c>
      <c r="W25" s="93" cm="1">
        <f t="array" ref="W25">WORKDAY(N25,1)</f>
        <v>46120</v>
      </c>
      <c r="X25" s="94">
        <v>46135</v>
      </c>
      <c r="Y25" s="88">
        <v>0</v>
      </c>
      <c r="Z25" s="93">
        <v>46140</v>
      </c>
      <c r="AA25" s="90">
        <v>46205</v>
      </c>
      <c r="AB25" s="88">
        <v>0</v>
      </c>
      <c r="AC25" s="79" t="s">
        <v>49</v>
      </c>
      <c r="AD25" s="79" t="s">
        <v>49</v>
      </c>
      <c r="AE25" s="90"/>
      <c r="AF25" s="88">
        <v>0</v>
      </c>
      <c r="AG25" s="93" cm="1">
        <f t="array" ref="AG25">WORKDAY(AA25,2)</f>
        <v>46209</v>
      </c>
      <c r="AH25" s="90" cm="1">
        <f t="array" ref="AH25">WORKDAY(AG25,1)</f>
        <v>46210</v>
      </c>
      <c r="AI25" s="86" cm="1">
        <f t="array" ref="AI25">WORKDAY(AH25,1)</f>
        <v>46211</v>
      </c>
      <c r="AJ25" s="144"/>
      <c r="AK25" s="56"/>
    </row>
    <row r="26" spans="1:37" ht="25.5" customHeight="1">
      <c r="A26" s="140" cm="1">
        <f t="array" ref="A26">A25+1</f>
        <v>11</v>
      </c>
      <c r="B26" s="79" t="s">
        <v>128</v>
      </c>
      <c r="C26" s="97">
        <v>1</v>
      </c>
      <c r="D26" s="79" t="s">
        <v>124</v>
      </c>
      <c r="E26" s="79" t="s">
        <v>129</v>
      </c>
      <c r="F26" s="79"/>
      <c r="G26" s="80" t="s">
        <v>121</v>
      </c>
      <c r="H26" s="81">
        <v>51109</v>
      </c>
      <c r="I26" s="82">
        <v>3</v>
      </c>
      <c r="J26" s="98"/>
      <c r="K26" s="99" t="s">
        <v>126</v>
      </c>
      <c r="L26" s="84">
        <v>46099</v>
      </c>
      <c r="M26" s="85">
        <v>46472</v>
      </c>
      <c r="N26" s="86">
        <v>46113</v>
      </c>
      <c r="O26" s="87">
        <v>0</v>
      </c>
      <c r="P26" s="88">
        <v>0</v>
      </c>
      <c r="Q26" s="89">
        <v>46113</v>
      </c>
      <c r="R26" s="96">
        <v>46129</v>
      </c>
      <c r="S26" s="86" cm="1">
        <f t="array" ref="S26">WORKDAY(R26,12)</f>
        <v>46147</v>
      </c>
      <c r="T26" s="87">
        <v>0</v>
      </c>
      <c r="U26" s="91" t="s">
        <v>105</v>
      </c>
      <c r="V26" s="92">
        <v>0</v>
      </c>
      <c r="W26" s="93" cm="1">
        <f t="array" ref="W26">WORKDAY(X26,-20)</f>
        <v>46120</v>
      </c>
      <c r="X26" s="80" t="s">
        <v>130</v>
      </c>
      <c r="Y26" s="88">
        <v>0</v>
      </c>
      <c r="Z26" s="93">
        <v>46153</v>
      </c>
      <c r="AA26" s="90">
        <v>46206</v>
      </c>
      <c r="AB26" s="88">
        <v>0</v>
      </c>
      <c r="AC26" s="79" t="s">
        <v>49</v>
      </c>
      <c r="AD26" s="79" t="s">
        <v>49</v>
      </c>
      <c r="AE26" s="90"/>
      <c r="AF26" s="88">
        <v>0</v>
      </c>
      <c r="AG26" s="93" cm="1">
        <f t="array" ref="AG26">WORKDAY(AA26,2)</f>
        <v>46210</v>
      </c>
      <c r="AH26" s="90" cm="1">
        <f t="array" ref="AH26">WORKDAY(AG26,1)</f>
        <v>46211</v>
      </c>
      <c r="AI26" s="86" cm="1">
        <f t="array" ref="AI26">WORKDAY(AH26,1)</f>
        <v>46212</v>
      </c>
      <c r="AJ26" s="144"/>
      <c r="AK26" s="56"/>
    </row>
    <row r="27" spans="1:37" ht="25.5" customHeight="1">
      <c r="A27" s="140" cm="1">
        <f t="array" ref="A27">A26+1</f>
        <v>12</v>
      </c>
      <c r="B27" s="79" t="s">
        <v>1130</v>
      </c>
      <c r="C27" s="97">
        <v>1</v>
      </c>
      <c r="D27" s="79" t="s">
        <v>1120</v>
      </c>
      <c r="E27" s="79" t="s">
        <v>1131</v>
      </c>
      <c r="F27" s="79" t="s">
        <v>78</v>
      </c>
      <c r="G27" s="80" t="s">
        <v>1122</v>
      </c>
      <c r="H27" s="81">
        <v>67516</v>
      </c>
      <c r="I27" s="109"/>
      <c r="J27" s="110">
        <v>5</v>
      </c>
      <c r="K27" s="107" t="s">
        <v>1125</v>
      </c>
      <c r="L27" s="84">
        <v>46099</v>
      </c>
      <c r="M27" s="85">
        <v>46115</v>
      </c>
      <c r="N27" s="86">
        <v>46119</v>
      </c>
      <c r="O27" s="87">
        <v>0</v>
      </c>
      <c r="P27" s="88">
        <v>0</v>
      </c>
      <c r="Q27" s="89">
        <v>46113</v>
      </c>
      <c r="R27" s="96">
        <v>46125</v>
      </c>
      <c r="S27" s="86" cm="1">
        <f t="array" ref="S27">WORKDAY(R27,5)</f>
        <v>46132</v>
      </c>
      <c r="T27" s="87">
        <v>0</v>
      </c>
      <c r="U27" s="91" t="s">
        <v>105</v>
      </c>
      <c r="V27" s="92">
        <v>0</v>
      </c>
      <c r="W27" s="93" cm="1">
        <f t="array" ref="W27">WORKDAY(N27,1)</f>
        <v>46120</v>
      </c>
      <c r="X27" s="94">
        <v>46135</v>
      </c>
      <c r="Y27" s="88">
        <v>0</v>
      </c>
      <c r="Z27" s="93">
        <v>46140</v>
      </c>
      <c r="AA27" s="90">
        <v>46206</v>
      </c>
      <c r="AB27" s="88">
        <v>0</v>
      </c>
      <c r="AC27" s="79" t="s">
        <v>49</v>
      </c>
      <c r="AD27" s="79" t="s">
        <v>49</v>
      </c>
      <c r="AE27" s="90"/>
      <c r="AF27" s="88">
        <v>0</v>
      </c>
      <c r="AG27" s="93" cm="1">
        <f t="array" ref="AG27">WORKDAY(AA27,2)</f>
        <v>46210</v>
      </c>
      <c r="AH27" s="90" cm="1">
        <f t="array" ref="AH27">WORKDAY(AG27,1)</f>
        <v>46211</v>
      </c>
      <c r="AI27" s="86" cm="1">
        <f t="array" ref="AI27">WORKDAY(AH27,1)</f>
        <v>46212</v>
      </c>
      <c r="AJ27" s="144"/>
      <c r="AK27" s="56"/>
    </row>
    <row r="28" spans="1:37" ht="25.5" customHeight="1">
      <c r="A28" s="140" cm="1">
        <f t="array" ref="A28">A27+1</f>
        <v>13</v>
      </c>
      <c r="B28" s="79" t="s">
        <v>1132</v>
      </c>
      <c r="C28" s="97">
        <v>1</v>
      </c>
      <c r="D28" s="79" t="s">
        <v>1120</v>
      </c>
      <c r="E28" s="79" t="s">
        <v>1133</v>
      </c>
      <c r="F28" s="79" t="s">
        <v>78</v>
      </c>
      <c r="G28" s="80" t="s">
        <v>1122</v>
      </c>
      <c r="H28" s="81">
        <v>67516</v>
      </c>
      <c r="I28" s="109"/>
      <c r="J28" s="110">
        <v>6</v>
      </c>
      <c r="K28" s="107" t="s">
        <v>1125</v>
      </c>
      <c r="L28" s="84">
        <v>46099</v>
      </c>
      <c r="M28" s="85">
        <v>46115</v>
      </c>
      <c r="N28" s="86">
        <v>46119</v>
      </c>
      <c r="O28" s="87">
        <v>0</v>
      </c>
      <c r="P28" s="88">
        <v>0</v>
      </c>
      <c r="Q28" s="89">
        <v>46113</v>
      </c>
      <c r="R28" s="96">
        <v>46125</v>
      </c>
      <c r="S28" s="86" cm="1">
        <f t="array" ref="S28">WORKDAY(R28,5)</f>
        <v>46132</v>
      </c>
      <c r="T28" s="87">
        <v>0</v>
      </c>
      <c r="U28" s="91" t="s">
        <v>105</v>
      </c>
      <c r="V28" s="92">
        <v>0</v>
      </c>
      <c r="W28" s="93" cm="1">
        <f t="array" ref="W28">WORKDAY(N28,1)</f>
        <v>46120</v>
      </c>
      <c r="X28" s="94">
        <v>46136</v>
      </c>
      <c r="Y28" s="88">
        <v>0</v>
      </c>
      <c r="Z28" s="93">
        <v>46141</v>
      </c>
      <c r="AA28" s="90">
        <v>46206</v>
      </c>
      <c r="AB28" s="88">
        <v>0</v>
      </c>
      <c r="AC28" s="79" t="s">
        <v>49</v>
      </c>
      <c r="AD28" s="79" t="s">
        <v>49</v>
      </c>
      <c r="AE28" s="90"/>
      <c r="AF28" s="88">
        <v>0</v>
      </c>
      <c r="AG28" s="93" cm="1">
        <f t="array" ref="AG28">WORKDAY(AA28,2)</f>
        <v>46210</v>
      </c>
      <c r="AH28" s="90" cm="1">
        <f t="array" ref="AH28">WORKDAY(AG28,1)</f>
        <v>46211</v>
      </c>
      <c r="AI28" s="86" cm="1">
        <f t="array" ref="AI28">WORKDAY(AH28,1)</f>
        <v>46212</v>
      </c>
      <c r="AJ28" s="144"/>
      <c r="AK28" s="56"/>
    </row>
    <row r="29" spans="1:37" ht="25.5" customHeight="1">
      <c r="A29" s="140" cm="1">
        <f t="array" ref="A29">A28+1</f>
        <v>14</v>
      </c>
      <c r="B29" s="79" t="s">
        <v>131</v>
      </c>
      <c r="C29" s="97">
        <v>1</v>
      </c>
      <c r="D29" s="79" t="s">
        <v>124</v>
      </c>
      <c r="E29" s="79" t="s">
        <v>132</v>
      </c>
      <c r="F29" s="79"/>
      <c r="G29" s="80" t="s">
        <v>121</v>
      </c>
      <c r="H29" s="81">
        <v>51109</v>
      </c>
      <c r="I29" s="82">
        <v>4</v>
      </c>
      <c r="J29" s="98"/>
      <c r="K29" s="99" t="s">
        <v>126</v>
      </c>
      <c r="L29" s="84">
        <v>46099</v>
      </c>
      <c r="M29" s="85">
        <v>46472</v>
      </c>
      <c r="N29" s="86">
        <v>46113</v>
      </c>
      <c r="O29" s="87">
        <v>0</v>
      </c>
      <c r="P29" s="88">
        <v>0</v>
      </c>
      <c r="Q29" s="89">
        <v>46113</v>
      </c>
      <c r="R29" s="96">
        <v>46129</v>
      </c>
      <c r="S29" s="86" cm="1">
        <f t="array" ref="S29">WORKDAY(R29,12)</f>
        <v>46147</v>
      </c>
      <c r="T29" s="87">
        <v>0</v>
      </c>
      <c r="U29" s="91" t="s">
        <v>105</v>
      </c>
      <c r="V29" s="92">
        <v>0</v>
      </c>
      <c r="W29" s="93" cm="1">
        <f t="array" ref="W29">WORKDAY(X29,-20)</f>
        <v>46121</v>
      </c>
      <c r="X29" s="80" t="s">
        <v>133</v>
      </c>
      <c r="Y29" s="88">
        <v>0</v>
      </c>
      <c r="Z29" s="93">
        <v>46154</v>
      </c>
      <c r="AA29" s="90">
        <v>46209</v>
      </c>
      <c r="AB29" s="88">
        <v>0</v>
      </c>
      <c r="AC29" s="79" t="s">
        <v>49</v>
      </c>
      <c r="AD29" s="79" t="s">
        <v>49</v>
      </c>
      <c r="AE29" s="90"/>
      <c r="AF29" s="88">
        <v>0</v>
      </c>
      <c r="AG29" s="93" cm="1">
        <f t="array" ref="AG29">WORKDAY(AA29,2)</f>
        <v>46211</v>
      </c>
      <c r="AH29" s="90" cm="1">
        <f t="array" ref="AH29">WORKDAY(AG29,1)</f>
        <v>46212</v>
      </c>
      <c r="AI29" s="86" cm="1">
        <f t="array" ref="AI29">WORKDAY(AH29,1)</f>
        <v>46213</v>
      </c>
      <c r="AJ29" s="144"/>
      <c r="AK29" s="56"/>
    </row>
    <row r="30" spans="1:37" ht="25.5" customHeight="1">
      <c r="A30" s="140" cm="1">
        <f t="array" ref="A30">A29+1</f>
        <v>15</v>
      </c>
      <c r="B30" s="79" t="s">
        <v>1134</v>
      </c>
      <c r="C30" s="97">
        <v>1</v>
      </c>
      <c r="D30" s="79" t="s">
        <v>1120</v>
      </c>
      <c r="E30" s="79" t="s">
        <v>1135</v>
      </c>
      <c r="F30" s="79" t="s">
        <v>78</v>
      </c>
      <c r="G30" s="80" t="s">
        <v>1122</v>
      </c>
      <c r="H30" s="81">
        <v>67516</v>
      </c>
      <c r="I30" s="109"/>
      <c r="J30" s="110">
        <v>7</v>
      </c>
      <c r="K30" s="100">
        <v>0.6</v>
      </c>
      <c r="L30" s="84">
        <v>46099</v>
      </c>
      <c r="M30" s="85">
        <v>46115</v>
      </c>
      <c r="N30" s="86">
        <v>46119</v>
      </c>
      <c r="O30" s="87">
        <v>0</v>
      </c>
      <c r="P30" s="88">
        <v>0</v>
      </c>
      <c r="Q30" s="89">
        <v>46113</v>
      </c>
      <c r="R30" s="96">
        <v>46125</v>
      </c>
      <c r="S30" s="86" cm="1">
        <f t="array" ref="S30">WORKDAY(R30,5)</f>
        <v>46132</v>
      </c>
      <c r="T30" s="87">
        <v>0</v>
      </c>
      <c r="U30" s="91" t="s">
        <v>105</v>
      </c>
      <c r="V30" s="92">
        <v>0</v>
      </c>
      <c r="W30" s="93" cm="1">
        <f t="array" ref="W30">WORKDAY(N30,1)</f>
        <v>46120</v>
      </c>
      <c r="X30" s="94">
        <v>46136</v>
      </c>
      <c r="Y30" s="88">
        <v>0</v>
      </c>
      <c r="Z30" s="93">
        <v>46141</v>
      </c>
      <c r="AA30" s="90">
        <v>46209</v>
      </c>
      <c r="AB30" s="88">
        <v>0</v>
      </c>
      <c r="AC30" s="79" t="s">
        <v>49</v>
      </c>
      <c r="AD30" s="79" t="s">
        <v>49</v>
      </c>
      <c r="AE30" s="90"/>
      <c r="AF30" s="88">
        <v>0</v>
      </c>
      <c r="AG30" s="93" cm="1">
        <f t="array" ref="AG30">WORKDAY(AA30,2)</f>
        <v>46211</v>
      </c>
      <c r="AH30" s="90" cm="1">
        <f t="array" ref="AH30">WORKDAY(AG30,1)</f>
        <v>46212</v>
      </c>
      <c r="AI30" s="86" cm="1">
        <f t="array" ref="AI30">WORKDAY(AH30,1)</f>
        <v>46213</v>
      </c>
      <c r="AJ30" s="144"/>
      <c r="AK30" s="56"/>
    </row>
    <row r="31" spans="1:37" ht="25.5" customHeight="1">
      <c r="A31" s="140" cm="1">
        <f t="array" ref="A31">A30+1</f>
        <v>16</v>
      </c>
      <c r="B31" s="79" t="s">
        <v>1136</v>
      </c>
      <c r="C31" s="97">
        <v>1</v>
      </c>
      <c r="D31" s="79" t="s">
        <v>1137</v>
      </c>
      <c r="E31" s="79" t="s">
        <v>1138</v>
      </c>
      <c r="F31" s="79" t="s">
        <v>78</v>
      </c>
      <c r="G31" s="80" t="s">
        <v>1122</v>
      </c>
      <c r="H31" s="81">
        <v>67516</v>
      </c>
      <c r="I31" s="109"/>
      <c r="J31" s="110">
        <v>8</v>
      </c>
      <c r="K31" s="100">
        <v>0.2</v>
      </c>
      <c r="L31" s="105" cm="1">
        <f t="array" ref="L31">WORKDAY(M31,-10)</f>
        <v>46106</v>
      </c>
      <c r="M31" s="85">
        <v>46120</v>
      </c>
      <c r="N31" s="86">
        <v>46122</v>
      </c>
      <c r="O31" s="87">
        <v>0</v>
      </c>
      <c r="P31" s="88">
        <v>0</v>
      </c>
      <c r="Q31" s="89">
        <v>46113</v>
      </c>
      <c r="R31" s="96">
        <v>46129</v>
      </c>
      <c r="S31" s="86" cm="1">
        <f t="array" ref="S31">WORKDAY(R31,5)</f>
        <v>46136</v>
      </c>
      <c r="T31" s="87">
        <v>0</v>
      </c>
      <c r="U31" s="91" t="s">
        <v>105</v>
      </c>
      <c r="V31" s="92">
        <v>0</v>
      </c>
      <c r="W31" s="93" cm="1">
        <f t="array" ref="W31">WORKDAY(N31,1)</f>
        <v>46125</v>
      </c>
      <c r="X31" s="94">
        <v>46139</v>
      </c>
      <c r="Y31" s="88">
        <v>0</v>
      </c>
      <c r="Z31" s="93">
        <v>46142</v>
      </c>
      <c r="AA31" s="90">
        <v>46209</v>
      </c>
      <c r="AB31" s="88">
        <v>0</v>
      </c>
      <c r="AC31" s="79" t="s">
        <v>49</v>
      </c>
      <c r="AD31" s="79" t="s">
        <v>49</v>
      </c>
      <c r="AE31" s="90"/>
      <c r="AF31" s="88">
        <v>0</v>
      </c>
      <c r="AG31" s="93" cm="1">
        <f t="array" ref="AG31">WORKDAY(AA31,2)</f>
        <v>46211</v>
      </c>
      <c r="AH31" s="90" cm="1">
        <f t="array" ref="AH31">WORKDAY(AG31,1)</f>
        <v>46212</v>
      </c>
      <c r="AI31" s="86" cm="1">
        <f t="array" ref="AI31">WORKDAY(AH31,1)</f>
        <v>46213</v>
      </c>
      <c r="AJ31" s="144"/>
      <c r="AK31" s="56"/>
    </row>
    <row r="32" spans="1:37" ht="25.5" customHeight="1">
      <c r="A32" s="140" cm="1">
        <f t="array" ref="A32">A31+1</f>
        <v>17</v>
      </c>
      <c r="B32" s="79" t="s">
        <v>134</v>
      </c>
      <c r="C32" s="97">
        <v>1</v>
      </c>
      <c r="D32" s="79" t="s">
        <v>124</v>
      </c>
      <c r="E32" s="79" t="s">
        <v>135</v>
      </c>
      <c r="F32" s="79"/>
      <c r="G32" s="80" t="s">
        <v>121</v>
      </c>
      <c r="H32" s="81">
        <v>51109</v>
      </c>
      <c r="I32" s="82">
        <v>5</v>
      </c>
      <c r="J32" s="98"/>
      <c r="K32" s="99" t="s">
        <v>126</v>
      </c>
      <c r="L32" s="84">
        <v>46099</v>
      </c>
      <c r="M32" s="85">
        <v>46472</v>
      </c>
      <c r="N32" s="86">
        <v>46113</v>
      </c>
      <c r="O32" s="87">
        <v>0</v>
      </c>
      <c r="P32" s="88">
        <v>0</v>
      </c>
      <c r="Q32" s="89">
        <v>46113</v>
      </c>
      <c r="R32" s="96">
        <v>46129</v>
      </c>
      <c r="S32" s="86" cm="1">
        <f t="array" ref="S32">WORKDAY(R32,12)</f>
        <v>46147</v>
      </c>
      <c r="T32" s="87">
        <v>0</v>
      </c>
      <c r="U32" s="91" t="s">
        <v>105</v>
      </c>
      <c r="V32" s="92">
        <v>0</v>
      </c>
      <c r="W32" s="93" cm="1">
        <f t="array" ref="W32">WORKDAY(X32,-20)</f>
        <v>46122</v>
      </c>
      <c r="X32" s="80" t="s">
        <v>136</v>
      </c>
      <c r="Y32" s="88">
        <v>0</v>
      </c>
      <c r="Z32" s="93">
        <v>46155</v>
      </c>
      <c r="AA32" s="90">
        <v>46210</v>
      </c>
      <c r="AB32" s="88">
        <v>0</v>
      </c>
      <c r="AC32" s="79" t="s">
        <v>49</v>
      </c>
      <c r="AD32" s="79" t="s">
        <v>49</v>
      </c>
      <c r="AE32" s="90"/>
      <c r="AF32" s="88">
        <v>0</v>
      </c>
      <c r="AG32" s="93" cm="1">
        <f t="array" ref="AG32">WORKDAY(AA32,2)</f>
        <v>46212</v>
      </c>
      <c r="AH32" s="90" cm="1">
        <f t="array" ref="AH32">WORKDAY(AG32,1)</f>
        <v>46213</v>
      </c>
      <c r="AI32" s="86" cm="1">
        <f t="array" ref="AI32">WORKDAY(AH32,1)</f>
        <v>46216</v>
      </c>
      <c r="AJ32" s="144"/>
      <c r="AK32" s="56"/>
    </row>
    <row r="33" spans="1:37" ht="25.5" customHeight="1">
      <c r="A33" s="140" cm="1">
        <f t="array" ref="A33">A32+1</f>
        <v>18</v>
      </c>
      <c r="B33" s="79" t="s">
        <v>1139</v>
      </c>
      <c r="C33" s="97">
        <v>1</v>
      </c>
      <c r="D33" s="79" t="s">
        <v>1140</v>
      </c>
      <c r="E33" s="79" t="s">
        <v>1141</v>
      </c>
      <c r="F33" s="79" t="s">
        <v>78</v>
      </c>
      <c r="G33" s="80" t="s">
        <v>1122</v>
      </c>
      <c r="H33" s="81">
        <v>67516</v>
      </c>
      <c r="I33" s="109"/>
      <c r="J33" s="110">
        <v>9</v>
      </c>
      <c r="K33" s="100">
        <v>0.2</v>
      </c>
      <c r="L33" s="105" cm="1">
        <f t="array" ref="L33">WORKDAY(M33,-10)</f>
        <v>46106</v>
      </c>
      <c r="M33" s="85">
        <v>46120</v>
      </c>
      <c r="N33" s="86">
        <v>46122</v>
      </c>
      <c r="O33" s="87">
        <v>0</v>
      </c>
      <c r="P33" s="88">
        <v>0</v>
      </c>
      <c r="Q33" s="89">
        <v>46113</v>
      </c>
      <c r="R33" s="96">
        <v>46129</v>
      </c>
      <c r="S33" s="86" cm="1">
        <f t="array" ref="S33">WORKDAY(R33,5)</f>
        <v>46136</v>
      </c>
      <c r="T33" s="87">
        <v>0</v>
      </c>
      <c r="U33" s="91" t="s">
        <v>105</v>
      </c>
      <c r="V33" s="92">
        <v>0</v>
      </c>
      <c r="W33" s="93" cm="1">
        <f t="array" ref="W33">WORKDAY(N33,1)</f>
        <v>46125</v>
      </c>
      <c r="X33" s="94">
        <v>46139</v>
      </c>
      <c r="Y33" s="88">
        <v>0</v>
      </c>
      <c r="Z33" s="93">
        <v>46142</v>
      </c>
      <c r="AA33" s="90">
        <v>46210</v>
      </c>
      <c r="AB33" s="88">
        <v>0</v>
      </c>
      <c r="AC33" s="79" t="s">
        <v>49</v>
      </c>
      <c r="AD33" s="79" t="s">
        <v>49</v>
      </c>
      <c r="AE33" s="90"/>
      <c r="AF33" s="88">
        <v>0</v>
      </c>
      <c r="AG33" s="93" cm="1">
        <f t="array" ref="AG33">WORKDAY(AA33,2)</f>
        <v>46212</v>
      </c>
      <c r="AH33" s="90" cm="1">
        <f t="array" ref="AH33">WORKDAY(AG33,1)</f>
        <v>46213</v>
      </c>
      <c r="AI33" s="86" cm="1">
        <f t="array" ref="AI33">WORKDAY(AH33,1)</f>
        <v>46216</v>
      </c>
      <c r="AJ33" s="144"/>
      <c r="AK33" s="56"/>
    </row>
    <row r="34" spans="1:37" ht="25.5" customHeight="1">
      <c r="A34" s="140" cm="1">
        <f t="array" ref="A34">A33+1</f>
        <v>19</v>
      </c>
      <c r="B34" s="79" t="s">
        <v>1142</v>
      </c>
      <c r="C34" s="97">
        <v>1</v>
      </c>
      <c r="D34" s="79" t="s">
        <v>1140</v>
      </c>
      <c r="E34" s="79" t="s">
        <v>1143</v>
      </c>
      <c r="F34" s="79" t="s">
        <v>78</v>
      </c>
      <c r="G34" s="80" t="s">
        <v>1122</v>
      </c>
      <c r="H34" s="81">
        <v>67516</v>
      </c>
      <c r="I34" s="109"/>
      <c r="J34" s="110">
        <v>10</v>
      </c>
      <c r="K34" s="100">
        <v>0.2</v>
      </c>
      <c r="L34" s="105" cm="1">
        <f t="array" ref="L34">WORKDAY(M34,-10)</f>
        <v>46106</v>
      </c>
      <c r="M34" s="85">
        <v>46120</v>
      </c>
      <c r="N34" s="86">
        <v>46122</v>
      </c>
      <c r="O34" s="87">
        <v>0</v>
      </c>
      <c r="P34" s="88">
        <v>0</v>
      </c>
      <c r="Q34" s="89">
        <v>46113</v>
      </c>
      <c r="R34" s="96">
        <v>46129</v>
      </c>
      <c r="S34" s="86" cm="1">
        <f t="array" ref="S34">WORKDAY(R34,5)</f>
        <v>46136</v>
      </c>
      <c r="T34" s="87">
        <v>0</v>
      </c>
      <c r="U34" s="91" t="s">
        <v>105</v>
      </c>
      <c r="V34" s="92">
        <v>0</v>
      </c>
      <c r="W34" s="93" cm="1">
        <f t="array" ref="W34">WORKDAY(N34,1)</f>
        <v>46125</v>
      </c>
      <c r="X34" s="94">
        <v>46140</v>
      </c>
      <c r="Y34" s="88">
        <v>0</v>
      </c>
      <c r="Z34" s="93">
        <v>46143</v>
      </c>
      <c r="AA34" s="90">
        <v>46210</v>
      </c>
      <c r="AB34" s="88">
        <v>0</v>
      </c>
      <c r="AC34" s="79" t="s">
        <v>49</v>
      </c>
      <c r="AD34" s="79" t="s">
        <v>49</v>
      </c>
      <c r="AE34" s="90"/>
      <c r="AF34" s="88">
        <v>0</v>
      </c>
      <c r="AG34" s="93" cm="1">
        <f t="array" ref="AG34">WORKDAY(AA34,2)</f>
        <v>46212</v>
      </c>
      <c r="AH34" s="90" cm="1">
        <f t="array" ref="AH34">WORKDAY(AG34,1)</f>
        <v>46213</v>
      </c>
      <c r="AI34" s="86" cm="1">
        <f t="array" ref="AI34">WORKDAY(AH34,1)</f>
        <v>46216</v>
      </c>
      <c r="AJ34" s="144"/>
      <c r="AK34" s="56"/>
    </row>
    <row r="35" spans="1:37" ht="25.5" customHeight="1">
      <c r="A35" s="140" cm="1">
        <f t="array" ref="A35">A34+1</f>
        <v>20</v>
      </c>
      <c r="B35" s="79" t="s">
        <v>137</v>
      </c>
      <c r="C35" s="97">
        <v>1</v>
      </c>
      <c r="D35" s="79" t="s">
        <v>124</v>
      </c>
      <c r="E35" s="79" t="s">
        <v>138</v>
      </c>
      <c r="F35" s="79"/>
      <c r="G35" s="80" t="s">
        <v>121</v>
      </c>
      <c r="H35" s="81">
        <v>51109</v>
      </c>
      <c r="I35" s="82">
        <v>6</v>
      </c>
      <c r="J35" s="98"/>
      <c r="K35" s="99" t="s">
        <v>126</v>
      </c>
      <c r="L35" s="84">
        <v>46099</v>
      </c>
      <c r="M35" s="85">
        <v>46472</v>
      </c>
      <c r="N35" s="86">
        <v>46113</v>
      </c>
      <c r="O35" s="87">
        <v>0</v>
      </c>
      <c r="P35" s="88">
        <v>0</v>
      </c>
      <c r="Q35" s="89">
        <v>46113</v>
      </c>
      <c r="R35" s="96">
        <v>46129</v>
      </c>
      <c r="S35" s="86" cm="1">
        <f t="array" ref="S35">WORKDAY(R35,12)</f>
        <v>46147</v>
      </c>
      <c r="T35" s="87">
        <v>0</v>
      </c>
      <c r="U35" s="91" t="s">
        <v>105</v>
      </c>
      <c r="V35" s="92">
        <v>0</v>
      </c>
      <c r="W35" s="93" cm="1">
        <f t="array" ref="W35">WORKDAY(X35,-20)</f>
        <v>46125</v>
      </c>
      <c r="X35" s="80" t="s">
        <v>139</v>
      </c>
      <c r="Y35" s="88">
        <v>0</v>
      </c>
      <c r="Z35" s="93">
        <v>46156</v>
      </c>
      <c r="AA35" s="90">
        <v>46211</v>
      </c>
      <c r="AB35" s="88">
        <v>0</v>
      </c>
      <c r="AC35" s="79" t="s">
        <v>49</v>
      </c>
      <c r="AD35" s="79" t="s">
        <v>49</v>
      </c>
      <c r="AE35" s="90"/>
      <c r="AF35" s="88">
        <v>0</v>
      </c>
      <c r="AG35" s="93" cm="1">
        <f t="array" ref="AG35">WORKDAY(AA35,2)</f>
        <v>46213</v>
      </c>
      <c r="AH35" s="90" cm="1">
        <f t="array" ref="AH35">WORKDAY(AG35,1)</f>
        <v>46216</v>
      </c>
      <c r="AI35" s="86" cm="1">
        <f t="array" ref="AI35">WORKDAY(AH35,1)</f>
        <v>46217</v>
      </c>
      <c r="AJ35" s="144"/>
      <c r="AK35" s="56"/>
    </row>
    <row r="36" spans="1:37" ht="25.5" customHeight="1">
      <c r="A36" s="140" cm="1">
        <f t="array" ref="A36">A35+1</f>
        <v>21</v>
      </c>
      <c r="B36" s="79" t="s">
        <v>1144</v>
      </c>
      <c r="C36" s="97">
        <v>1</v>
      </c>
      <c r="D36" s="79" t="s">
        <v>1140</v>
      </c>
      <c r="E36" s="79" t="s">
        <v>1145</v>
      </c>
      <c r="F36" s="79" t="s">
        <v>78</v>
      </c>
      <c r="G36" s="80" t="s">
        <v>1122</v>
      </c>
      <c r="H36" s="81">
        <v>67516</v>
      </c>
      <c r="I36" s="109"/>
      <c r="J36" s="110">
        <v>11</v>
      </c>
      <c r="K36" s="100">
        <v>0.2</v>
      </c>
      <c r="L36" s="105" cm="1">
        <f t="array" ref="L36">WORKDAY(M36,-10)</f>
        <v>46106</v>
      </c>
      <c r="M36" s="85">
        <v>46120</v>
      </c>
      <c r="N36" s="86">
        <v>46122</v>
      </c>
      <c r="O36" s="87">
        <v>0</v>
      </c>
      <c r="P36" s="88">
        <v>0</v>
      </c>
      <c r="Q36" s="89">
        <v>46113</v>
      </c>
      <c r="R36" s="96">
        <v>46129</v>
      </c>
      <c r="S36" s="86" cm="1">
        <f t="array" ref="S36">WORKDAY(R36,5)</f>
        <v>46136</v>
      </c>
      <c r="T36" s="87">
        <v>0</v>
      </c>
      <c r="U36" s="91" t="s">
        <v>105</v>
      </c>
      <c r="V36" s="92">
        <v>0</v>
      </c>
      <c r="W36" s="93" cm="1">
        <f t="array" ref="W36">WORKDAY(N36,1)</f>
        <v>46125</v>
      </c>
      <c r="X36" s="94">
        <v>46140</v>
      </c>
      <c r="Y36" s="88">
        <v>0</v>
      </c>
      <c r="Z36" s="93">
        <v>46143</v>
      </c>
      <c r="AA36" s="90">
        <v>46211</v>
      </c>
      <c r="AB36" s="88">
        <v>0</v>
      </c>
      <c r="AC36" s="79" t="s">
        <v>49</v>
      </c>
      <c r="AD36" s="79" t="s">
        <v>49</v>
      </c>
      <c r="AE36" s="90"/>
      <c r="AF36" s="88">
        <v>0</v>
      </c>
      <c r="AG36" s="93" cm="1">
        <f t="array" ref="AG36">WORKDAY(AA36,2)</f>
        <v>46213</v>
      </c>
      <c r="AH36" s="90" cm="1">
        <f t="array" ref="AH36">WORKDAY(AG36,1)</f>
        <v>46216</v>
      </c>
      <c r="AI36" s="86" cm="1">
        <f t="array" ref="AI36">WORKDAY(AH36,1)</f>
        <v>46217</v>
      </c>
      <c r="AJ36" s="144"/>
      <c r="AK36" s="56"/>
    </row>
    <row r="37" spans="1:37" ht="25.5" customHeight="1">
      <c r="A37" s="140" cm="1">
        <f t="array" ref="A37">A36+1</f>
        <v>22</v>
      </c>
      <c r="B37" s="79" t="s">
        <v>1146</v>
      </c>
      <c r="C37" s="97">
        <v>1</v>
      </c>
      <c r="D37" s="79" t="s">
        <v>1140</v>
      </c>
      <c r="E37" s="79" t="s">
        <v>1147</v>
      </c>
      <c r="F37" s="79" t="s">
        <v>78</v>
      </c>
      <c r="G37" s="80" t="s">
        <v>1122</v>
      </c>
      <c r="H37" s="81">
        <v>67516</v>
      </c>
      <c r="I37" s="109"/>
      <c r="J37" s="110">
        <v>12</v>
      </c>
      <c r="K37" s="100">
        <v>0.2</v>
      </c>
      <c r="L37" s="105" cm="1">
        <f t="array" ref="L37">WORKDAY(M37,-10)</f>
        <v>46106</v>
      </c>
      <c r="M37" s="85">
        <v>46120</v>
      </c>
      <c r="N37" s="86">
        <v>46122</v>
      </c>
      <c r="O37" s="87">
        <v>0</v>
      </c>
      <c r="P37" s="88">
        <v>0</v>
      </c>
      <c r="Q37" s="89">
        <v>46113</v>
      </c>
      <c r="R37" s="96">
        <v>46129</v>
      </c>
      <c r="S37" s="86" cm="1">
        <f t="array" ref="S37">WORKDAY(R37,5)</f>
        <v>46136</v>
      </c>
      <c r="T37" s="87">
        <v>0</v>
      </c>
      <c r="U37" s="91" t="s">
        <v>105</v>
      </c>
      <c r="V37" s="92">
        <v>0</v>
      </c>
      <c r="W37" s="93" cm="1">
        <f t="array" ref="W37">WORKDAY(N37,1)</f>
        <v>46125</v>
      </c>
      <c r="X37" s="94">
        <v>46141</v>
      </c>
      <c r="Y37" s="88">
        <v>0</v>
      </c>
      <c r="Z37" s="93">
        <v>46146</v>
      </c>
      <c r="AA37" s="90">
        <v>46211</v>
      </c>
      <c r="AB37" s="88">
        <v>0</v>
      </c>
      <c r="AC37" s="79" t="s">
        <v>49</v>
      </c>
      <c r="AD37" s="79" t="s">
        <v>49</v>
      </c>
      <c r="AE37" s="90"/>
      <c r="AF37" s="88">
        <v>0</v>
      </c>
      <c r="AG37" s="93" cm="1">
        <f t="array" ref="AG37">WORKDAY(AA37,2)</f>
        <v>46213</v>
      </c>
      <c r="AH37" s="90" cm="1">
        <f t="array" ref="AH37">WORKDAY(AG37,1)</f>
        <v>46216</v>
      </c>
      <c r="AI37" s="86" cm="1">
        <f t="array" ref="AI37">WORKDAY(AH37,1)</f>
        <v>46217</v>
      </c>
      <c r="AJ37" s="144"/>
      <c r="AK37" s="56"/>
    </row>
    <row r="38" spans="1:37" ht="25.5" customHeight="1">
      <c r="A38" s="140" cm="1">
        <f t="array" ref="A38">A37+1</f>
        <v>23</v>
      </c>
      <c r="B38" s="79" t="s">
        <v>140</v>
      </c>
      <c r="C38" s="97">
        <v>1</v>
      </c>
      <c r="D38" s="79" t="s">
        <v>124</v>
      </c>
      <c r="E38" s="79" t="s">
        <v>141</v>
      </c>
      <c r="F38" s="79"/>
      <c r="G38" s="80" t="s">
        <v>121</v>
      </c>
      <c r="H38" s="81">
        <v>51109</v>
      </c>
      <c r="I38" s="82">
        <v>7</v>
      </c>
      <c r="J38" s="98"/>
      <c r="K38" s="99" t="s">
        <v>104</v>
      </c>
      <c r="L38" s="84">
        <v>46099</v>
      </c>
      <c r="M38" s="85">
        <v>46472</v>
      </c>
      <c r="N38" s="86">
        <v>46113</v>
      </c>
      <c r="O38" s="87">
        <v>0</v>
      </c>
      <c r="P38" s="88">
        <v>0</v>
      </c>
      <c r="Q38" s="89">
        <v>46113</v>
      </c>
      <c r="R38" s="96">
        <v>46129</v>
      </c>
      <c r="S38" s="86" cm="1">
        <f t="array" ref="S38">WORKDAY(R38,12)</f>
        <v>46147</v>
      </c>
      <c r="T38" s="87">
        <v>0</v>
      </c>
      <c r="U38" s="91" t="s">
        <v>105</v>
      </c>
      <c r="V38" s="92">
        <v>0</v>
      </c>
      <c r="W38" s="93" cm="1">
        <f t="array" ref="W38">WORKDAY(X38,-20)</f>
        <v>46126</v>
      </c>
      <c r="X38" s="80" t="s">
        <v>142</v>
      </c>
      <c r="Y38" s="88">
        <v>0</v>
      </c>
      <c r="Z38" s="93">
        <v>46157</v>
      </c>
      <c r="AA38" s="90">
        <v>46212</v>
      </c>
      <c r="AB38" s="88">
        <v>0</v>
      </c>
      <c r="AC38" s="79" t="s">
        <v>49</v>
      </c>
      <c r="AD38" s="79" t="s">
        <v>49</v>
      </c>
      <c r="AE38" s="90"/>
      <c r="AF38" s="88">
        <v>0</v>
      </c>
      <c r="AG38" s="93" cm="1">
        <f t="array" ref="AG38">WORKDAY(AA38,2)</f>
        <v>46216</v>
      </c>
      <c r="AH38" s="90" cm="1">
        <f t="array" ref="AH38">WORKDAY(AG38,1)</f>
        <v>46217</v>
      </c>
      <c r="AI38" s="86" cm="1">
        <f t="array" ref="AI38">WORKDAY(AH38,1)</f>
        <v>46218</v>
      </c>
      <c r="AJ38" s="144"/>
      <c r="AK38" s="56"/>
    </row>
    <row r="39" spans="1:37" ht="25.5" customHeight="1">
      <c r="A39" s="140" cm="1">
        <f t="array" ref="A39">A38+1</f>
        <v>24</v>
      </c>
      <c r="B39" s="79" t="s">
        <v>1148</v>
      </c>
      <c r="C39" s="97">
        <v>1</v>
      </c>
      <c r="D39" s="79" t="s">
        <v>1140</v>
      </c>
      <c r="E39" s="79" t="s">
        <v>1149</v>
      </c>
      <c r="F39" s="79" t="s">
        <v>78</v>
      </c>
      <c r="G39" s="80" t="s">
        <v>1122</v>
      </c>
      <c r="H39" s="81">
        <v>67516</v>
      </c>
      <c r="I39" s="109"/>
      <c r="J39" s="110">
        <v>13</v>
      </c>
      <c r="K39" s="100">
        <v>0.2</v>
      </c>
      <c r="L39" s="105" cm="1">
        <f t="array" ref="L39">WORKDAY(M39,-10)</f>
        <v>46106</v>
      </c>
      <c r="M39" s="85">
        <v>46120</v>
      </c>
      <c r="N39" s="86">
        <v>46122</v>
      </c>
      <c r="O39" s="87">
        <v>0</v>
      </c>
      <c r="P39" s="88">
        <v>0</v>
      </c>
      <c r="Q39" s="89">
        <v>46113</v>
      </c>
      <c r="R39" s="96">
        <v>46129</v>
      </c>
      <c r="S39" s="86" cm="1">
        <f t="array" ref="S39">WORKDAY(R39,5)</f>
        <v>46136</v>
      </c>
      <c r="T39" s="87">
        <v>0</v>
      </c>
      <c r="U39" s="91" t="s">
        <v>105</v>
      </c>
      <c r="V39" s="92">
        <v>0</v>
      </c>
      <c r="W39" s="93" cm="1">
        <f t="array" ref="W39">WORKDAY(N39,1)</f>
        <v>46125</v>
      </c>
      <c r="X39" s="94">
        <v>46141</v>
      </c>
      <c r="Y39" s="88">
        <v>0</v>
      </c>
      <c r="Z39" s="93">
        <v>46146</v>
      </c>
      <c r="AA39" s="90">
        <v>46212</v>
      </c>
      <c r="AB39" s="88">
        <v>0</v>
      </c>
      <c r="AC39" s="79" t="s">
        <v>49</v>
      </c>
      <c r="AD39" s="79" t="s">
        <v>49</v>
      </c>
      <c r="AE39" s="90"/>
      <c r="AF39" s="88">
        <v>0</v>
      </c>
      <c r="AG39" s="93" cm="1">
        <f t="array" ref="AG39">WORKDAY(AA39,2)</f>
        <v>46216</v>
      </c>
      <c r="AH39" s="90" cm="1">
        <f t="array" ref="AH39">WORKDAY(AG39,1)</f>
        <v>46217</v>
      </c>
      <c r="AI39" s="86" cm="1">
        <f t="array" ref="AI39">WORKDAY(AH39,1)</f>
        <v>46218</v>
      </c>
      <c r="AJ39" s="144"/>
      <c r="AK39" s="56"/>
    </row>
    <row r="40" spans="1:37" ht="25.5" customHeight="1">
      <c r="A40" s="140" cm="1">
        <f t="array" ref="A40">A39+1</f>
        <v>25</v>
      </c>
      <c r="B40" s="79" t="s">
        <v>1150</v>
      </c>
      <c r="C40" s="97">
        <v>1</v>
      </c>
      <c r="D40" s="79" t="s">
        <v>1140</v>
      </c>
      <c r="E40" s="79" t="s">
        <v>1151</v>
      </c>
      <c r="F40" s="79" t="s">
        <v>78</v>
      </c>
      <c r="G40" s="80" t="s">
        <v>1122</v>
      </c>
      <c r="H40" s="81">
        <v>67516</v>
      </c>
      <c r="I40" s="109"/>
      <c r="J40" s="110">
        <v>14</v>
      </c>
      <c r="K40" s="100">
        <v>0.2</v>
      </c>
      <c r="L40" s="105" cm="1">
        <f t="array" ref="L40">WORKDAY(M40,-10)</f>
        <v>46106</v>
      </c>
      <c r="M40" s="85">
        <v>46120</v>
      </c>
      <c r="N40" s="86">
        <v>46122</v>
      </c>
      <c r="O40" s="87">
        <v>0</v>
      </c>
      <c r="P40" s="88">
        <v>0</v>
      </c>
      <c r="Q40" s="89">
        <v>46113</v>
      </c>
      <c r="R40" s="96">
        <v>46129</v>
      </c>
      <c r="S40" s="86" cm="1">
        <f t="array" ref="S40">WORKDAY(R40,5)</f>
        <v>46136</v>
      </c>
      <c r="T40" s="87">
        <v>0</v>
      </c>
      <c r="U40" s="91" t="s">
        <v>105</v>
      </c>
      <c r="V40" s="92">
        <v>0</v>
      </c>
      <c r="W40" s="93" cm="1">
        <f t="array" ref="W40">WORKDAY(N40,1)</f>
        <v>46125</v>
      </c>
      <c r="X40" s="94">
        <v>46142</v>
      </c>
      <c r="Y40" s="88">
        <v>0</v>
      </c>
      <c r="Z40" s="93">
        <v>46147</v>
      </c>
      <c r="AA40" s="90">
        <v>46212</v>
      </c>
      <c r="AB40" s="88">
        <v>0</v>
      </c>
      <c r="AC40" s="79" t="s">
        <v>49</v>
      </c>
      <c r="AD40" s="79" t="s">
        <v>49</v>
      </c>
      <c r="AE40" s="90"/>
      <c r="AF40" s="88">
        <v>0</v>
      </c>
      <c r="AG40" s="93" cm="1">
        <f t="array" ref="AG40">WORKDAY(AA40,2)</f>
        <v>46216</v>
      </c>
      <c r="AH40" s="90" cm="1">
        <f t="array" ref="AH40">WORKDAY(AG40,1)</f>
        <v>46217</v>
      </c>
      <c r="AI40" s="86" cm="1">
        <f t="array" ref="AI40">WORKDAY(AH40,1)</f>
        <v>46218</v>
      </c>
      <c r="AJ40" s="144"/>
      <c r="AK40" s="56"/>
    </row>
    <row r="41" spans="1:37" ht="25.5" customHeight="1">
      <c r="A41" s="140" cm="1">
        <f t="array" ref="A41">A40+1</f>
        <v>26</v>
      </c>
      <c r="B41" s="79" t="s">
        <v>143</v>
      </c>
      <c r="C41" s="97">
        <v>1</v>
      </c>
      <c r="D41" s="79" t="s">
        <v>144</v>
      </c>
      <c r="E41" s="79" t="s">
        <v>145</v>
      </c>
      <c r="F41" s="79"/>
      <c r="G41" s="80" t="s">
        <v>121</v>
      </c>
      <c r="H41" s="81">
        <v>51109</v>
      </c>
      <c r="I41" s="82">
        <v>8</v>
      </c>
      <c r="J41" s="98"/>
      <c r="K41" s="99" t="s">
        <v>104</v>
      </c>
      <c r="L41" s="84">
        <v>46099</v>
      </c>
      <c r="M41" s="85">
        <v>46472</v>
      </c>
      <c r="N41" s="86">
        <v>46113</v>
      </c>
      <c r="O41" s="87">
        <v>0</v>
      </c>
      <c r="P41" s="88">
        <v>0</v>
      </c>
      <c r="Q41" s="89">
        <v>46113</v>
      </c>
      <c r="R41" s="96">
        <v>46136</v>
      </c>
      <c r="S41" s="86" cm="1">
        <f t="array" ref="S41">WORKDAY(R41,10)</f>
        <v>46150</v>
      </c>
      <c r="T41" s="87">
        <v>0</v>
      </c>
      <c r="U41" s="91" t="s">
        <v>105</v>
      </c>
      <c r="V41" s="92">
        <v>0</v>
      </c>
      <c r="W41" s="93" cm="1">
        <f t="array" ref="W41">WORKDAY(X41,-20)</f>
        <v>46127</v>
      </c>
      <c r="X41" s="80" t="s">
        <v>146</v>
      </c>
      <c r="Y41" s="88">
        <v>0</v>
      </c>
      <c r="Z41" s="93">
        <v>46160</v>
      </c>
      <c r="AA41" s="90">
        <v>46213</v>
      </c>
      <c r="AB41" s="88">
        <v>0</v>
      </c>
      <c r="AC41" s="79" t="s">
        <v>49</v>
      </c>
      <c r="AD41" s="79" t="s">
        <v>49</v>
      </c>
      <c r="AE41" s="90"/>
      <c r="AF41" s="88">
        <v>0</v>
      </c>
      <c r="AG41" s="93" cm="1">
        <f t="array" ref="AG41">WORKDAY(AA41,2)</f>
        <v>46217</v>
      </c>
      <c r="AH41" s="90" cm="1">
        <f t="array" ref="AH41">WORKDAY(AG41,1)</f>
        <v>46218</v>
      </c>
      <c r="AI41" s="86" cm="1">
        <f t="array" ref="AI41">WORKDAY(AH41,1)</f>
        <v>46219</v>
      </c>
      <c r="AJ41" s="144"/>
      <c r="AK41" s="56"/>
    </row>
    <row r="42" spans="1:37" ht="25.5" customHeight="1">
      <c r="A42" s="140" cm="1">
        <f t="array" ref="A42">A41+1</f>
        <v>27</v>
      </c>
      <c r="B42" s="79" t="s">
        <v>1152</v>
      </c>
      <c r="C42" s="97">
        <v>1</v>
      </c>
      <c r="D42" s="79" t="s">
        <v>1153</v>
      </c>
      <c r="E42" s="79" t="s">
        <v>1154</v>
      </c>
      <c r="F42" s="79" t="s">
        <v>78</v>
      </c>
      <c r="G42" s="80" t="s">
        <v>1122</v>
      </c>
      <c r="H42" s="81">
        <v>67516</v>
      </c>
      <c r="I42" s="109"/>
      <c r="J42" s="110">
        <v>15</v>
      </c>
      <c r="K42" s="107" t="s">
        <v>1125</v>
      </c>
      <c r="L42" s="84">
        <v>46099</v>
      </c>
      <c r="M42" s="85">
        <v>46115</v>
      </c>
      <c r="N42" s="86">
        <v>46119</v>
      </c>
      <c r="O42" s="87">
        <v>0</v>
      </c>
      <c r="P42" s="88">
        <v>0</v>
      </c>
      <c r="Q42" s="89">
        <v>46113</v>
      </c>
      <c r="R42" s="96">
        <v>46129</v>
      </c>
      <c r="S42" s="86" cm="1">
        <f t="array" ref="S42">WORKDAY(R42,5)</f>
        <v>46136</v>
      </c>
      <c r="T42" s="87">
        <v>0</v>
      </c>
      <c r="U42" s="91" t="s">
        <v>105</v>
      </c>
      <c r="V42" s="92">
        <v>0</v>
      </c>
      <c r="W42" s="93">
        <v>46125</v>
      </c>
      <c r="X42" s="94">
        <v>46142</v>
      </c>
      <c r="Y42" s="88">
        <v>0</v>
      </c>
      <c r="Z42" s="93">
        <v>46147</v>
      </c>
      <c r="AA42" s="90">
        <v>46213</v>
      </c>
      <c r="AB42" s="88">
        <v>0</v>
      </c>
      <c r="AC42" s="79" t="s">
        <v>49</v>
      </c>
      <c r="AD42" s="79" t="s">
        <v>49</v>
      </c>
      <c r="AE42" s="90"/>
      <c r="AF42" s="88">
        <v>0</v>
      </c>
      <c r="AG42" s="93" cm="1">
        <f t="array" ref="AG42">WORKDAY(AA42,2)</f>
        <v>46217</v>
      </c>
      <c r="AH42" s="90" cm="1">
        <f t="array" ref="AH42">WORKDAY(AG42,1)</f>
        <v>46218</v>
      </c>
      <c r="AI42" s="86" cm="1">
        <f t="array" ref="AI42">WORKDAY(AH42,1)</f>
        <v>46219</v>
      </c>
      <c r="AJ42" s="144"/>
      <c r="AK42" s="56"/>
    </row>
    <row r="43" spans="1:37" ht="25.5" customHeight="1">
      <c r="A43" s="140" cm="1">
        <f t="array" ref="A43">A42+1</f>
        <v>28</v>
      </c>
      <c r="B43" s="79" t="s">
        <v>1155</v>
      </c>
      <c r="C43" s="97">
        <v>1</v>
      </c>
      <c r="D43" s="79" t="s">
        <v>1156</v>
      </c>
      <c r="E43" s="79" t="s">
        <v>1157</v>
      </c>
      <c r="F43" s="79" t="s">
        <v>78</v>
      </c>
      <c r="G43" s="80" t="s">
        <v>1122</v>
      </c>
      <c r="H43" s="81">
        <v>67516</v>
      </c>
      <c r="I43" s="109"/>
      <c r="J43" s="110">
        <v>16</v>
      </c>
      <c r="K43" s="99" t="s">
        <v>126</v>
      </c>
      <c r="L43" s="84">
        <v>46099</v>
      </c>
      <c r="M43" s="85">
        <v>46115</v>
      </c>
      <c r="N43" s="86">
        <v>46119</v>
      </c>
      <c r="O43" s="87">
        <v>0</v>
      </c>
      <c r="P43" s="88">
        <v>0</v>
      </c>
      <c r="Q43" s="89">
        <v>46113</v>
      </c>
      <c r="R43" s="96">
        <v>46129</v>
      </c>
      <c r="S43" s="86" cm="1">
        <f t="array" ref="S43">WORKDAY(R43,5)</f>
        <v>46136</v>
      </c>
      <c r="T43" s="87">
        <v>0</v>
      </c>
      <c r="U43" s="91" t="s">
        <v>105</v>
      </c>
      <c r="V43" s="92">
        <v>0</v>
      </c>
      <c r="W43" s="93">
        <v>46125</v>
      </c>
      <c r="X43" s="80" t="s">
        <v>122</v>
      </c>
      <c r="Y43" s="88">
        <v>0</v>
      </c>
      <c r="Z43" s="93">
        <v>46149</v>
      </c>
      <c r="AA43" s="90">
        <v>46213</v>
      </c>
      <c r="AB43" s="88">
        <v>0</v>
      </c>
      <c r="AC43" s="79" t="s">
        <v>49</v>
      </c>
      <c r="AD43" s="79" t="s">
        <v>49</v>
      </c>
      <c r="AE43" s="90"/>
      <c r="AF43" s="88">
        <v>0</v>
      </c>
      <c r="AG43" s="93" cm="1">
        <f t="array" ref="AG43">WORKDAY(AA43,2)</f>
        <v>46217</v>
      </c>
      <c r="AH43" s="90" cm="1">
        <f t="array" ref="AH43">WORKDAY(AG43,1)</f>
        <v>46218</v>
      </c>
      <c r="AI43" s="86" cm="1">
        <f t="array" ref="AI43">WORKDAY(AH43,1)</f>
        <v>46219</v>
      </c>
      <c r="AJ43" s="144"/>
      <c r="AK43" s="56"/>
    </row>
    <row r="44" spans="1:37" ht="25.5" customHeight="1">
      <c r="A44" s="140" cm="1">
        <f t="array" ref="A44">A43+1</f>
        <v>29</v>
      </c>
      <c r="B44" s="79" t="s">
        <v>147</v>
      </c>
      <c r="C44" s="97">
        <v>1</v>
      </c>
      <c r="D44" s="79" t="s">
        <v>148</v>
      </c>
      <c r="E44" s="79" t="s">
        <v>149</v>
      </c>
      <c r="F44" s="79"/>
      <c r="G44" s="80" t="s">
        <v>121</v>
      </c>
      <c r="H44" s="81">
        <v>51109</v>
      </c>
      <c r="I44" s="82">
        <v>9</v>
      </c>
      <c r="J44" s="98"/>
      <c r="K44" s="99" t="s">
        <v>126</v>
      </c>
      <c r="L44" s="84">
        <v>46099</v>
      </c>
      <c r="M44" s="85">
        <v>46472</v>
      </c>
      <c r="N44" s="86">
        <v>46113</v>
      </c>
      <c r="O44" s="87">
        <v>0</v>
      </c>
      <c r="P44" s="88">
        <v>0</v>
      </c>
      <c r="Q44" s="89">
        <v>46113</v>
      </c>
      <c r="R44" s="96">
        <v>46136</v>
      </c>
      <c r="S44" s="86" cm="1">
        <f t="array" ref="S44">WORKDAY(R44,10)</f>
        <v>46150</v>
      </c>
      <c r="T44" s="87">
        <v>0</v>
      </c>
      <c r="U44" s="91" t="s">
        <v>105</v>
      </c>
      <c r="V44" s="92">
        <v>0</v>
      </c>
      <c r="W44" s="93" cm="1">
        <f t="array" ref="W44">WORKDAY(X44,-20)</f>
        <v>46128</v>
      </c>
      <c r="X44" s="80" t="s">
        <v>150</v>
      </c>
      <c r="Y44" s="88">
        <v>0</v>
      </c>
      <c r="Z44" s="93">
        <v>46161</v>
      </c>
      <c r="AA44" s="90">
        <v>46216</v>
      </c>
      <c r="AB44" s="88">
        <v>0</v>
      </c>
      <c r="AC44" s="79" t="s">
        <v>49</v>
      </c>
      <c r="AD44" s="79" t="s">
        <v>49</v>
      </c>
      <c r="AE44" s="90"/>
      <c r="AF44" s="88">
        <v>0</v>
      </c>
      <c r="AG44" s="93" cm="1">
        <f t="array" ref="AG44">WORKDAY(AA44,2)</f>
        <v>46218</v>
      </c>
      <c r="AH44" s="90" cm="1">
        <f t="array" ref="AH44">WORKDAY(AG44,1)</f>
        <v>46219</v>
      </c>
      <c r="AI44" s="86" cm="1">
        <f t="array" ref="AI44">WORKDAY(AH44,1)</f>
        <v>46220</v>
      </c>
      <c r="AJ44" s="144"/>
      <c r="AK44" s="56"/>
    </row>
    <row r="45" spans="1:37" ht="25.5" customHeight="1">
      <c r="A45" s="140" cm="1">
        <f t="array" ref="A45">A44+1</f>
        <v>30</v>
      </c>
      <c r="B45" s="79" t="s">
        <v>1158</v>
      </c>
      <c r="C45" s="97">
        <v>1</v>
      </c>
      <c r="D45" s="79" t="s">
        <v>1156</v>
      </c>
      <c r="E45" s="79" t="s">
        <v>1159</v>
      </c>
      <c r="F45" s="79" t="s">
        <v>78</v>
      </c>
      <c r="G45" s="80" t="s">
        <v>1122</v>
      </c>
      <c r="H45" s="81">
        <v>67516</v>
      </c>
      <c r="I45" s="109"/>
      <c r="J45" s="110">
        <v>17</v>
      </c>
      <c r="K45" s="99" t="s">
        <v>126</v>
      </c>
      <c r="L45" s="84">
        <v>46099</v>
      </c>
      <c r="M45" s="85">
        <v>46115</v>
      </c>
      <c r="N45" s="86">
        <v>46119</v>
      </c>
      <c r="O45" s="87">
        <v>0</v>
      </c>
      <c r="P45" s="88">
        <v>0</v>
      </c>
      <c r="Q45" s="89">
        <v>46113</v>
      </c>
      <c r="R45" s="96">
        <v>46129</v>
      </c>
      <c r="S45" s="86" cm="1">
        <f t="array" ref="S45">WORKDAY(R45,5)</f>
        <v>46136</v>
      </c>
      <c r="T45" s="87">
        <v>0</v>
      </c>
      <c r="U45" s="91" t="s">
        <v>105</v>
      </c>
      <c r="V45" s="92">
        <v>0</v>
      </c>
      <c r="W45" s="93">
        <v>46125</v>
      </c>
      <c r="X45" s="80" t="s">
        <v>127</v>
      </c>
      <c r="Y45" s="88">
        <v>0</v>
      </c>
      <c r="Z45" s="93">
        <v>46150</v>
      </c>
      <c r="AA45" s="90">
        <v>46216</v>
      </c>
      <c r="AB45" s="88">
        <v>0</v>
      </c>
      <c r="AC45" s="79" t="s">
        <v>49</v>
      </c>
      <c r="AD45" s="79" t="s">
        <v>49</v>
      </c>
      <c r="AE45" s="90"/>
      <c r="AF45" s="88">
        <v>0</v>
      </c>
      <c r="AG45" s="93" cm="1">
        <f t="array" ref="AG45">WORKDAY(AA45,2)</f>
        <v>46218</v>
      </c>
      <c r="AH45" s="90" cm="1">
        <f t="array" ref="AH45">WORKDAY(AG45,1)</f>
        <v>46219</v>
      </c>
      <c r="AI45" s="86" cm="1">
        <f t="array" ref="AI45">WORKDAY(AH45,1)</f>
        <v>46220</v>
      </c>
      <c r="AJ45" s="144"/>
      <c r="AK45" s="56"/>
    </row>
    <row r="46" spans="1:37" ht="25.5" customHeight="1">
      <c r="A46" s="140" cm="1">
        <f t="array" ref="A46">A45+1</f>
        <v>31</v>
      </c>
      <c r="B46" s="79" t="s">
        <v>1160</v>
      </c>
      <c r="C46" s="97">
        <v>1</v>
      </c>
      <c r="D46" s="79" t="s">
        <v>1156</v>
      </c>
      <c r="E46" s="79" t="s">
        <v>1161</v>
      </c>
      <c r="F46" s="79" t="s">
        <v>78</v>
      </c>
      <c r="G46" s="80" t="s">
        <v>1122</v>
      </c>
      <c r="H46" s="81">
        <v>67516</v>
      </c>
      <c r="I46" s="109"/>
      <c r="J46" s="110">
        <v>18</v>
      </c>
      <c r="K46" s="99" t="s">
        <v>126</v>
      </c>
      <c r="L46" s="84">
        <v>46099</v>
      </c>
      <c r="M46" s="85">
        <v>46115</v>
      </c>
      <c r="N46" s="86">
        <v>46119</v>
      </c>
      <c r="O46" s="87">
        <v>0</v>
      </c>
      <c r="P46" s="88">
        <v>0</v>
      </c>
      <c r="Q46" s="89">
        <v>46113</v>
      </c>
      <c r="R46" s="96">
        <v>46136</v>
      </c>
      <c r="S46" s="86" cm="1">
        <f t="array" ref="S46">WORKDAY(R46,7)</f>
        <v>46147</v>
      </c>
      <c r="T46" s="87">
        <v>0</v>
      </c>
      <c r="U46" s="91" t="s">
        <v>105</v>
      </c>
      <c r="V46" s="92">
        <v>0</v>
      </c>
      <c r="W46" s="93">
        <v>46125</v>
      </c>
      <c r="X46" s="80" t="s">
        <v>130</v>
      </c>
      <c r="Y46" s="88">
        <v>0</v>
      </c>
      <c r="Z46" s="93">
        <v>46153</v>
      </c>
      <c r="AA46" s="90">
        <v>46216</v>
      </c>
      <c r="AB46" s="88">
        <v>0</v>
      </c>
      <c r="AC46" s="79" t="s">
        <v>49</v>
      </c>
      <c r="AD46" s="79" t="s">
        <v>49</v>
      </c>
      <c r="AE46" s="90"/>
      <c r="AF46" s="88">
        <v>0</v>
      </c>
      <c r="AG46" s="93" cm="1">
        <f t="array" ref="AG46">WORKDAY(AA46,2)</f>
        <v>46218</v>
      </c>
      <c r="AH46" s="90" cm="1">
        <f t="array" ref="AH46">WORKDAY(AG46,1)</f>
        <v>46219</v>
      </c>
      <c r="AI46" s="86" cm="1">
        <f t="array" ref="AI46">WORKDAY(AH46,1)</f>
        <v>46220</v>
      </c>
      <c r="AJ46" s="144"/>
      <c r="AK46" s="56"/>
    </row>
    <row r="47" spans="1:37" ht="25.5" customHeight="1">
      <c r="A47" s="140" cm="1">
        <f t="array" ref="A47">A46+1</f>
        <v>32</v>
      </c>
      <c r="B47" s="79" t="s">
        <v>151</v>
      </c>
      <c r="C47" s="97">
        <v>1</v>
      </c>
      <c r="D47" s="79" t="s">
        <v>148</v>
      </c>
      <c r="E47" s="79" t="s">
        <v>152</v>
      </c>
      <c r="F47" s="79"/>
      <c r="G47" s="80" t="s">
        <v>121</v>
      </c>
      <c r="H47" s="81">
        <v>51109</v>
      </c>
      <c r="I47" s="82">
        <v>10</v>
      </c>
      <c r="J47" s="98"/>
      <c r="K47" s="99" t="s">
        <v>126</v>
      </c>
      <c r="L47" s="84">
        <v>46099</v>
      </c>
      <c r="M47" s="85">
        <v>46472</v>
      </c>
      <c r="N47" s="86">
        <v>46113</v>
      </c>
      <c r="O47" s="87">
        <v>0</v>
      </c>
      <c r="P47" s="88">
        <v>0</v>
      </c>
      <c r="Q47" s="89">
        <v>46113</v>
      </c>
      <c r="R47" s="96">
        <v>46136</v>
      </c>
      <c r="S47" s="86" cm="1">
        <f t="array" ref="S47">WORKDAY(R47,10)</f>
        <v>46150</v>
      </c>
      <c r="T47" s="87">
        <v>0</v>
      </c>
      <c r="U47" s="91" t="s">
        <v>105</v>
      </c>
      <c r="V47" s="92">
        <v>0</v>
      </c>
      <c r="W47" s="93" cm="1">
        <f t="array" ref="W47">WORKDAY(X47,-20)</f>
        <v>46129</v>
      </c>
      <c r="X47" s="80" t="s">
        <v>153</v>
      </c>
      <c r="Y47" s="88">
        <v>0</v>
      </c>
      <c r="Z47" s="93">
        <v>46162</v>
      </c>
      <c r="AA47" s="90">
        <v>46217</v>
      </c>
      <c r="AB47" s="88">
        <v>0</v>
      </c>
      <c r="AC47" s="79" t="s">
        <v>49</v>
      </c>
      <c r="AD47" s="79" t="s">
        <v>49</v>
      </c>
      <c r="AE47" s="90"/>
      <c r="AF47" s="88">
        <v>0</v>
      </c>
      <c r="AG47" s="93" cm="1">
        <f t="array" ref="AG47">WORKDAY(AA47,2)</f>
        <v>46219</v>
      </c>
      <c r="AH47" s="90" cm="1">
        <f t="array" ref="AH47">WORKDAY(AG47,1)</f>
        <v>46220</v>
      </c>
      <c r="AI47" s="86" cm="1">
        <f t="array" ref="AI47">WORKDAY(AH47,1)</f>
        <v>46223</v>
      </c>
      <c r="AJ47" s="144"/>
      <c r="AK47" s="56"/>
    </row>
    <row r="48" spans="1:37" ht="25.5" customHeight="1">
      <c r="A48" s="140" cm="1">
        <f t="array" ref="A48">A47+1</f>
        <v>33</v>
      </c>
      <c r="B48" s="79" t="s">
        <v>1162</v>
      </c>
      <c r="C48" s="97">
        <v>1</v>
      </c>
      <c r="D48" s="79" t="s">
        <v>1156</v>
      </c>
      <c r="E48" s="79" t="s">
        <v>1163</v>
      </c>
      <c r="F48" s="79" t="s">
        <v>78</v>
      </c>
      <c r="G48" s="80" t="s">
        <v>1122</v>
      </c>
      <c r="H48" s="81">
        <v>67516</v>
      </c>
      <c r="I48" s="109"/>
      <c r="J48" s="110">
        <v>19</v>
      </c>
      <c r="K48" s="99" t="s">
        <v>126</v>
      </c>
      <c r="L48" s="84">
        <v>46099</v>
      </c>
      <c r="M48" s="85">
        <v>46115</v>
      </c>
      <c r="N48" s="86">
        <v>46119</v>
      </c>
      <c r="O48" s="87">
        <v>0</v>
      </c>
      <c r="P48" s="88">
        <v>0</v>
      </c>
      <c r="Q48" s="89">
        <v>46113</v>
      </c>
      <c r="R48" s="96">
        <v>46136</v>
      </c>
      <c r="S48" s="86" cm="1">
        <f t="array" ref="S48">WORKDAY(R48,7)</f>
        <v>46147</v>
      </c>
      <c r="T48" s="87">
        <v>0</v>
      </c>
      <c r="U48" s="91" t="s">
        <v>105</v>
      </c>
      <c r="V48" s="92">
        <v>0</v>
      </c>
      <c r="W48" s="93">
        <v>46125</v>
      </c>
      <c r="X48" s="80" t="s">
        <v>133</v>
      </c>
      <c r="Y48" s="88">
        <v>0</v>
      </c>
      <c r="Z48" s="93">
        <v>46154</v>
      </c>
      <c r="AA48" s="90">
        <v>46217</v>
      </c>
      <c r="AB48" s="88">
        <v>0</v>
      </c>
      <c r="AC48" s="79" t="s">
        <v>49</v>
      </c>
      <c r="AD48" s="79" t="s">
        <v>49</v>
      </c>
      <c r="AE48" s="90"/>
      <c r="AF48" s="88">
        <v>0</v>
      </c>
      <c r="AG48" s="93" cm="1">
        <f t="array" ref="AG48">WORKDAY(AA48,2)</f>
        <v>46219</v>
      </c>
      <c r="AH48" s="90" cm="1">
        <f t="array" ref="AH48">WORKDAY(AG48,1)</f>
        <v>46220</v>
      </c>
      <c r="AI48" s="86" cm="1">
        <f t="array" ref="AI48">WORKDAY(AH48,1)</f>
        <v>46223</v>
      </c>
      <c r="AJ48" s="144"/>
      <c r="AK48" s="56"/>
    </row>
    <row r="49" spans="1:37" ht="25.5" customHeight="1">
      <c r="A49" s="140" cm="1">
        <f t="array" ref="A49">A48+1</f>
        <v>34</v>
      </c>
      <c r="B49" s="79" t="s">
        <v>1164</v>
      </c>
      <c r="C49" s="97">
        <v>1</v>
      </c>
      <c r="D49" s="79" t="s">
        <v>1156</v>
      </c>
      <c r="E49" s="79" t="s">
        <v>1165</v>
      </c>
      <c r="F49" s="79" t="s">
        <v>78</v>
      </c>
      <c r="G49" s="80" t="s">
        <v>1122</v>
      </c>
      <c r="H49" s="81">
        <v>67516</v>
      </c>
      <c r="I49" s="109"/>
      <c r="J49" s="110">
        <v>20</v>
      </c>
      <c r="K49" s="99" t="s">
        <v>126</v>
      </c>
      <c r="L49" s="84">
        <v>46099</v>
      </c>
      <c r="M49" s="85">
        <v>46115</v>
      </c>
      <c r="N49" s="86">
        <v>46119</v>
      </c>
      <c r="O49" s="87">
        <v>0</v>
      </c>
      <c r="P49" s="88">
        <v>0</v>
      </c>
      <c r="Q49" s="89">
        <v>46113</v>
      </c>
      <c r="R49" s="96">
        <v>46136</v>
      </c>
      <c r="S49" s="86" cm="1">
        <f t="array" ref="S49">WORKDAY(R49,7)</f>
        <v>46147</v>
      </c>
      <c r="T49" s="87">
        <v>0</v>
      </c>
      <c r="U49" s="91" t="s">
        <v>105</v>
      </c>
      <c r="V49" s="92">
        <v>0</v>
      </c>
      <c r="W49" s="93">
        <v>46125</v>
      </c>
      <c r="X49" s="80" t="s">
        <v>136</v>
      </c>
      <c r="Y49" s="88">
        <v>0</v>
      </c>
      <c r="Z49" s="93">
        <v>46155</v>
      </c>
      <c r="AA49" s="90">
        <v>46217</v>
      </c>
      <c r="AB49" s="88">
        <v>0</v>
      </c>
      <c r="AC49" s="79" t="s">
        <v>49</v>
      </c>
      <c r="AD49" s="79" t="s">
        <v>49</v>
      </c>
      <c r="AE49" s="90"/>
      <c r="AF49" s="88">
        <v>0</v>
      </c>
      <c r="AG49" s="93" cm="1">
        <f t="array" ref="AG49">WORKDAY(AA49,2)</f>
        <v>46219</v>
      </c>
      <c r="AH49" s="90" cm="1">
        <f t="array" ref="AH49">WORKDAY(AG49,1)</f>
        <v>46220</v>
      </c>
      <c r="AI49" s="86" cm="1">
        <f t="array" ref="AI49">WORKDAY(AH49,1)</f>
        <v>46223</v>
      </c>
      <c r="AJ49" s="144"/>
      <c r="AK49" s="56"/>
    </row>
    <row r="50" spans="1:37" ht="25.5" customHeight="1">
      <c r="A50" s="140" cm="1">
        <f t="array" ref="A50">A49+1</f>
        <v>35</v>
      </c>
      <c r="B50" s="79" t="s">
        <v>154</v>
      </c>
      <c r="C50" s="97">
        <v>1</v>
      </c>
      <c r="D50" s="79" t="s">
        <v>148</v>
      </c>
      <c r="E50" s="79" t="s">
        <v>155</v>
      </c>
      <c r="F50" s="79"/>
      <c r="G50" s="80" t="s">
        <v>121</v>
      </c>
      <c r="H50" s="81">
        <v>51109</v>
      </c>
      <c r="I50" s="82">
        <v>11</v>
      </c>
      <c r="J50" s="98"/>
      <c r="K50" s="99" t="s">
        <v>126</v>
      </c>
      <c r="L50" s="84">
        <v>46099</v>
      </c>
      <c r="M50" s="85">
        <v>46472</v>
      </c>
      <c r="N50" s="86">
        <v>46113</v>
      </c>
      <c r="O50" s="87">
        <v>0</v>
      </c>
      <c r="P50" s="88">
        <v>0</v>
      </c>
      <c r="Q50" s="89">
        <v>46113</v>
      </c>
      <c r="R50" s="96">
        <v>46136</v>
      </c>
      <c r="S50" s="86" cm="1">
        <f t="array" ref="S50">WORKDAY(R50,10)</f>
        <v>46150</v>
      </c>
      <c r="T50" s="87">
        <v>0</v>
      </c>
      <c r="U50" s="91" t="s">
        <v>105</v>
      </c>
      <c r="V50" s="92">
        <v>0</v>
      </c>
      <c r="W50" s="93" cm="1">
        <f t="array" ref="W50">WORKDAY(X50,-20)</f>
        <v>46132</v>
      </c>
      <c r="X50" s="80" t="s">
        <v>156</v>
      </c>
      <c r="Y50" s="88">
        <v>0</v>
      </c>
      <c r="Z50" s="93">
        <v>46163</v>
      </c>
      <c r="AA50" s="90">
        <v>46218</v>
      </c>
      <c r="AB50" s="88">
        <v>0</v>
      </c>
      <c r="AC50" s="79" t="s">
        <v>49</v>
      </c>
      <c r="AD50" s="79" t="s">
        <v>49</v>
      </c>
      <c r="AE50" s="90"/>
      <c r="AF50" s="88">
        <v>0</v>
      </c>
      <c r="AG50" s="93" cm="1">
        <f t="array" ref="AG50">WORKDAY(AA50,2)</f>
        <v>46220</v>
      </c>
      <c r="AH50" s="90" cm="1">
        <f t="array" ref="AH50">WORKDAY(AG50,1)</f>
        <v>46223</v>
      </c>
      <c r="AI50" s="86" cm="1">
        <f t="array" ref="AI50">WORKDAY(AH50,1)</f>
        <v>46224</v>
      </c>
      <c r="AJ50" s="144"/>
      <c r="AK50" s="56"/>
    </row>
    <row r="51" spans="1:37" ht="25.5" customHeight="1">
      <c r="A51" s="140" cm="1">
        <f t="array" ref="A51">A50+1</f>
        <v>36</v>
      </c>
      <c r="B51" s="79" t="s">
        <v>1166</v>
      </c>
      <c r="C51" s="97">
        <v>1</v>
      </c>
      <c r="D51" s="79" t="s">
        <v>1156</v>
      </c>
      <c r="E51" s="79" t="s">
        <v>1167</v>
      </c>
      <c r="F51" s="79" t="s">
        <v>78</v>
      </c>
      <c r="G51" s="80" t="s">
        <v>1122</v>
      </c>
      <c r="H51" s="81">
        <v>67516</v>
      </c>
      <c r="I51" s="109"/>
      <c r="J51" s="110">
        <v>21</v>
      </c>
      <c r="K51" s="107" t="s">
        <v>1125</v>
      </c>
      <c r="L51" s="84">
        <v>46099</v>
      </c>
      <c r="M51" s="85">
        <v>46115</v>
      </c>
      <c r="N51" s="86">
        <v>46119</v>
      </c>
      <c r="O51" s="87">
        <v>0</v>
      </c>
      <c r="P51" s="88">
        <v>0</v>
      </c>
      <c r="Q51" s="89">
        <v>46113</v>
      </c>
      <c r="R51" s="96">
        <v>46136</v>
      </c>
      <c r="S51" s="86" cm="1">
        <f t="array" ref="S51">WORKDAY(R51,7)</f>
        <v>46147</v>
      </c>
      <c r="T51" s="87">
        <v>0</v>
      </c>
      <c r="U51" s="91" t="s">
        <v>105</v>
      </c>
      <c r="V51" s="92">
        <v>0</v>
      </c>
      <c r="W51" s="93">
        <v>46125</v>
      </c>
      <c r="X51" s="80" t="s">
        <v>139</v>
      </c>
      <c r="Y51" s="88">
        <v>0</v>
      </c>
      <c r="Z51" s="93">
        <v>46156</v>
      </c>
      <c r="AA51" s="90">
        <v>46218</v>
      </c>
      <c r="AB51" s="88">
        <v>0</v>
      </c>
      <c r="AC51" s="79" t="s">
        <v>49</v>
      </c>
      <c r="AD51" s="79" t="s">
        <v>49</v>
      </c>
      <c r="AE51" s="90"/>
      <c r="AF51" s="88">
        <v>0</v>
      </c>
      <c r="AG51" s="93" cm="1">
        <f t="array" ref="AG51">WORKDAY(AA51,2)</f>
        <v>46220</v>
      </c>
      <c r="AH51" s="90" cm="1">
        <f t="array" ref="AH51">WORKDAY(AG51,1)</f>
        <v>46223</v>
      </c>
      <c r="AI51" s="86" cm="1">
        <f t="array" ref="AI51">WORKDAY(AH51,1)</f>
        <v>46224</v>
      </c>
      <c r="AJ51" s="144"/>
      <c r="AK51" s="56"/>
    </row>
    <row r="52" spans="1:37" ht="25.5" customHeight="1">
      <c r="A52" s="140" cm="1">
        <f t="array" ref="A52">A51+1</f>
        <v>37</v>
      </c>
      <c r="B52" s="79" t="s">
        <v>1168</v>
      </c>
      <c r="C52" s="97">
        <v>1</v>
      </c>
      <c r="D52" s="79" t="s">
        <v>1169</v>
      </c>
      <c r="E52" s="79" t="s">
        <v>1170</v>
      </c>
      <c r="F52" s="79" t="s">
        <v>78</v>
      </c>
      <c r="G52" s="80" t="s">
        <v>1122</v>
      </c>
      <c r="H52" s="81">
        <v>67516</v>
      </c>
      <c r="I52" s="109"/>
      <c r="J52" s="110">
        <v>22</v>
      </c>
      <c r="K52" s="100">
        <v>0.2</v>
      </c>
      <c r="L52" s="105" cm="1">
        <f t="array" ref="L52">WORKDAY(M52,-10)</f>
        <v>46106</v>
      </c>
      <c r="M52" s="85">
        <v>46120</v>
      </c>
      <c r="N52" s="86">
        <v>46122</v>
      </c>
      <c r="O52" s="87">
        <v>0</v>
      </c>
      <c r="P52" s="88">
        <v>0</v>
      </c>
      <c r="Q52" s="89">
        <v>46113</v>
      </c>
      <c r="R52" s="96">
        <v>46136</v>
      </c>
      <c r="S52" s="86" cm="1">
        <f t="array" ref="S52">WORKDAY(R52,7)</f>
        <v>46147</v>
      </c>
      <c r="T52" s="87">
        <v>0</v>
      </c>
      <c r="U52" s="91" t="s">
        <v>105</v>
      </c>
      <c r="V52" s="92">
        <v>0</v>
      </c>
      <c r="W52" s="93" cm="1">
        <f t="array" ref="W52">WORKDAY(X52,-20)</f>
        <v>46126</v>
      </c>
      <c r="X52" s="80" t="s">
        <v>142</v>
      </c>
      <c r="Y52" s="88">
        <v>0</v>
      </c>
      <c r="Z52" s="93">
        <v>46157</v>
      </c>
      <c r="AA52" s="90">
        <v>46218</v>
      </c>
      <c r="AB52" s="88">
        <v>0</v>
      </c>
      <c r="AC52" s="79" t="s">
        <v>49</v>
      </c>
      <c r="AD52" s="79" t="s">
        <v>49</v>
      </c>
      <c r="AE52" s="90"/>
      <c r="AF52" s="88">
        <v>0</v>
      </c>
      <c r="AG52" s="93" cm="1">
        <f t="array" ref="AG52">WORKDAY(AA52,2)</f>
        <v>46220</v>
      </c>
      <c r="AH52" s="90" cm="1">
        <f t="array" ref="AH52">WORKDAY(AG52,1)</f>
        <v>46223</v>
      </c>
      <c r="AI52" s="86" cm="1">
        <f t="array" ref="AI52">WORKDAY(AH52,1)</f>
        <v>46224</v>
      </c>
      <c r="AJ52" s="144"/>
      <c r="AK52" s="56"/>
    </row>
    <row r="53" spans="1:37" ht="25.5" customHeight="1">
      <c r="A53" s="140" cm="1">
        <f t="array" ref="A53">A52+1</f>
        <v>38</v>
      </c>
      <c r="B53" s="79" t="s">
        <v>157</v>
      </c>
      <c r="C53" s="97">
        <v>1</v>
      </c>
      <c r="D53" s="79" t="s">
        <v>148</v>
      </c>
      <c r="E53" s="79" t="s">
        <v>158</v>
      </c>
      <c r="F53" s="79"/>
      <c r="G53" s="80" t="s">
        <v>121</v>
      </c>
      <c r="H53" s="81">
        <v>51109</v>
      </c>
      <c r="I53" s="82">
        <v>12</v>
      </c>
      <c r="J53" s="98"/>
      <c r="K53" s="99" t="s">
        <v>126</v>
      </c>
      <c r="L53" s="84">
        <v>46099</v>
      </c>
      <c r="M53" s="85">
        <v>46472</v>
      </c>
      <c r="N53" s="86">
        <v>46113</v>
      </c>
      <c r="O53" s="87">
        <v>0</v>
      </c>
      <c r="P53" s="88">
        <v>0</v>
      </c>
      <c r="Q53" s="89">
        <v>46113</v>
      </c>
      <c r="R53" s="96">
        <v>46136</v>
      </c>
      <c r="S53" s="86" cm="1">
        <f t="array" ref="S53">WORKDAY(R53,10)</f>
        <v>46150</v>
      </c>
      <c r="T53" s="87">
        <v>0</v>
      </c>
      <c r="U53" s="91" t="s">
        <v>105</v>
      </c>
      <c r="V53" s="92">
        <v>0</v>
      </c>
      <c r="W53" s="93" cm="1">
        <f t="array" ref="W53">WORKDAY(X53,-20)</f>
        <v>46133</v>
      </c>
      <c r="X53" s="80" t="s">
        <v>159</v>
      </c>
      <c r="Y53" s="88">
        <v>0</v>
      </c>
      <c r="Z53" s="93">
        <v>46164</v>
      </c>
      <c r="AA53" s="90">
        <v>46219</v>
      </c>
      <c r="AB53" s="88">
        <v>0</v>
      </c>
      <c r="AC53" s="79" t="s">
        <v>49</v>
      </c>
      <c r="AD53" s="79" t="s">
        <v>49</v>
      </c>
      <c r="AE53" s="90"/>
      <c r="AF53" s="88">
        <v>0</v>
      </c>
      <c r="AG53" s="93" cm="1">
        <f t="array" ref="AG53">WORKDAY(AA53,2)</f>
        <v>46223</v>
      </c>
      <c r="AH53" s="90" cm="1">
        <f t="array" ref="AH53">WORKDAY(AG53,1)</f>
        <v>46224</v>
      </c>
      <c r="AI53" s="86" cm="1">
        <f t="array" ref="AI53">WORKDAY(AH53,1)</f>
        <v>46225</v>
      </c>
      <c r="AJ53" s="144"/>
      <c r="AK53" s="56"/>
    </row>
    <row r="54" spans="1:37" ht="25.5" customHeight="1">
      <c r="A54" s="140" cm="1">
        <f t="array" ref="A54">A53+1</f>
        <v>39</v>
      </c>
      <c r="B54" s="79" t="s">
        <v>1171</v>
      </c>
      <c r="C54" s="97">
        <v>1</v>
      </c>
      <c r="D54" s="79" t="s">
        <v>1120</v>
      </c>
      <c r="E54" s="79" t="s">
        <v>1172</v>
      </c>
      <c r="F54" s="79" t="s">
        <v>78</v>
      </c>
      <c r="G54" s="80" t="s">
        <v>1122</v>
      </c>
      <c r="H54" s="81">
        <v>67516</v>
      </c>
      <c r="I54" s="109"/>
      <c r="J54" s="110">
        <v>23</v>
      </c>
      <c r="K54" s="107" t="s">
        <v>1125</v>
      </c>
      <c r="L54" s="84">
        <v>46099</v>
      </c>
      <c r="M54" s="85">
        <v>46115</v>
      </c>
      <c r="N54" s="86">
        <v>46119</v>
      </c>
      <c r="O54" s="87">
        <v>0</v>
      </c>
      <c r="P54" s="88">
        <v>0</v>
      </c>
      <c r="Q54" s="89">
        <v>46113</v>
      </c>
      <c r="R54" s="96">
        <v>46136</v>
      </c>
      <c r="S54" s="86" cm="1">
        <f t="array" ref="S54">WORKDAY(R54,7)</f>
        <v>46147</v>
      </c>
      <c r="T54" s="87">
        <v>0</v>
      </c>
      <c r="U54" s="91" t="s">
        <v>105</v>
      </c>
      <c r="V54" s="92">
        <v>0</v>
      </c>
      <c r="W54" s="93" cm="1">
        <f t="array" ref="W54">WORKDAY(X54,-20)</f>
        <v>46127</v>
      </c>
      <c r="X54" s="80" t="s">
        <v>146</v>
      </c>
      <c r="Y54" s="88">
        <v>0</v>
      </c>
      <c r="Z54" s="93">
        <v>46160</v>
      </c>
      <c r="AA54" s="90">
        <v>46219</v>
      </c>
      <c r="AB54" s="88">
        <v>0</v>
      </c>
      <c r="AC54" s="79" t="s">
        <v>49</v>
      </c>
      <c r="AD54" s="79" t="s">
        <v>49</v>
      </c>
      <c r="AE54" s="90"/>
      <c r="AF54" s="88">
        <v>0</v>
      </c>
      <c r="AG54" s="93" cm="1">
        <f t="array" ref="AG54">WORKDAY(AA54,2)</f>
        <v>46223</v>
      </c>
      <c r="AH54" s="90" cm="1">
        <f t="array" ref="AH54">WORKDAY(AG54,1)</f>
        <v>46224</v>
      </c>
      <c r="AI54" s="86" cm="1">
        <f t="array" ref="AI54">WORKDAY(AH54,1)</f>
        <v>46225</v>
      </c>
      <c r="AJ54" s="144"/>
      <c r="AK54" s="56"/>
    </row>
    <row r="55" spans="1:37" ht="25.5" customHeight="1">
      <c r="A55" s="140" cm="1">
        <f t="array" ref="A55">A54+1</f>
        <v>40</v>
      </c>
      <c r="B55" s="79" t="s">
        <v>1173</v>
      </c>
      <c r="C55" s="97">
        <v>1</v>
      </c>
      <c r="D55" s="79" t="s">
        <v>1120</v>
      </c>
      <c r="E55" s="79" t="s">
        <v>1174</v>
      </c>
      <c r="F55" s="79" t="s">
        <v>78</v>
      </c>
      <c r="G55" s="80" t="s">
        <v>1122</v>
      </c>
      <c r="H55" s="81">
        <v>67516</v>
      </c>
      <c r="I55" s="109"/>
      <c r="J55" s="110">
        <v>24</v>
      </c>
      <c r="K55" s="107" t="s">
        <v>1125</v>
      </c>
      <c r="L55" s="101">
        <v>46099</v>
      </c>
      <c r="M55" s="85">
        <v>46115</v>
      </c>
      <c r="N55" s="86">
        <v>46119</v>
      </c>
      <c r="O55" s="87">
        <v>0</v>
      </c>
      <c r="P55" s="88">
        <v>0</v>
      </c>
      <c r="Q55" s="89">
        <v>46113</v>
      </c>
      <c r="R55" s="96">
        <v>46136</v>
      </c>
      <c r="S55" s="86" cm="1">
        <f t="array" ref="S55">WORKDAY(R55,7)</f>
        <v>46147</v>
      </c>
      <c r="T55" s="87">
        <v>0</v>
      </c>
      <c r="U55" s="91" t="s">
        <v>105</v>
      </c>
      <c r="V55" s="92">
        <v>0</v>
      </c>
      <c r="W55" s="93" cm="1">
        <f t="array" ref="W55">WORKDAY(X55,-20)</f>
        <v>46128</v>
      </c>
      <c r="X55" s="80" t="s">
        <v>150</v>
      </c>
      <c r="Y55" s="88">
        <v>0</v>
      </c>
      <c r="Z55" s="93">
        <v>46161</v>
      </c>
      <c r="AA55" s="90">
        <v>46219</v>
      </c>
      <c r="AB55" s="88">
        <v>0</v>
      </c>
      <c r="AC55" s="79" t="s">
        <v>49</v>
      </c>
      <c r="AD55" s="79" t="s">
        <v>49</v>
      </c>
      <c r="AE55" s="90"/>
      <c r="AF55" s="88">
        <v>0</v>
      </c>
      <c r="AG55" s="93" cm="1">
        <f t="array" ref="AG55">WORKDAY(AA55,2)</f>
        <v>46223</v>
      </c>
      <c r="AH55" s="90" cm="1">
        <f t="array" ref="AH55">WORKDAY(AG55,1)</f>
        <v>46224</v>
      </c>
      <c r="AI55" s="86" cm="1">
        <f t="array" ref="AI55">WORKDAY(AH55,1)</f>
        <v>46225</v>
      </c>
      <c r="AJ55" s="144"/>
      <c r="AK55" s="56"/>
    </row>
    <row r="56" spans="1:37" ht="25.5" customHeight="1">
      <c r="A56" s="140" cm="1">
        <f t="array" ref="A56">A55+1</f>
        <v>41</v>
      </c>
      <c r="B56" s="79" t="s">
        <v>160</v>
      </c>
      <c r="C56" s="97">
        <v>1</v>
      </c>
      <c r="D56" s="79" t="s">
        <v>148</v>
      </c>
      <c r="E56" s="79" t="s">
        <v>161</v>
      </c>
      <c r="F56" s="79"/>
      <c r="G56" s="80" t="s">
        <v>121</v>
      </c>
      <c r="H56" s="81">
        <v>51109</v>
      </c>
      <c r="I56" s="82">
        <v>13</v>
      </c>
      <c r="J56" s="98"/>
      <c r="K56" s="147" t="s">
        <v>126</v>
      </c>
      <c r="L56" s="89">
        <v>46099</v>
      </c>
      <c r="M56" s="102">
        <v>46472</v>
      </c>
      <c r="N56" s="86">
        <v>46113</v>
      </c>
      <c r="O56" s="87">
        <v>0</v>
      </c>
      <c r="P56" s="88">
        <v>0</v>
      </c>
      <c r="Q56" s="89">
        <v>46113</v>
      </c>
      <c r="R56" s="96">
        <v>46136</v>
      </c>
      <c r="S56" s="86" cm="1">
        <f t="array" ref="S56">WORKDAY(R56,10)</f>
        <v>46150</v>
      </c>
      <c r="T56" s="87">
        <v>0</v>
      </c>
      <c r="U56" s="91" t="s">
        <v>105</v>
      </c>
      <c r="V56" s="92">
        <v>0</v>
      </c>
      <c r="W56" s="93" cm="1">
        <f t="array" ref="W56">WORKDAY(X56,-20)</f>
        <v>46134</v>
      </c>
      <c r="X56" s="80" t="s">
        <v>162</v>
      </c>
      <c r="Y56" s="88">
        <v>0</v>
      </c>
      <c r="Z56" s="93">
        <v>46167</v>
      </c>
      <c r="AA56" s="90">
        <v>46220</v>
      </c>
      <c r="AB56" s="88">
        <v>0</v>
      </c>
      <c r="AC56" s="79" t="s">
        <v>49</v>
      </c>
      <c r="AD56" s="79" t="s">
        <v>49</v>
      </c>
      <c r="AE56" s="90"/>
      <c r="AF56" s="88">
        <v>0</v>
      </c>
      <c r="AG56" s="93" cm="1">
        <f t="array" ref="AG56">WORKDAY(AA56,2)</f>
        <v>46224</v>
      </c>
      <c r="AH56" s="90" cm="1">
        <f t="array" ref="AH56">WORKDAY(AG56,1)</f>
        <v>46225</v>
      </c>
      <c r="AI56" s="86" cm="1">
        <f t="array" ref="AI56">WORKDAY(AH56,1)</f>
        <v>46226</v>
      </c>
      <c r="AJ56" s="144"/>
      <c r="AK56" s="56"/>
    </row>
    <row r="57" spans="1:37" ht="25.5" customHeight="1">
      <c r="A57" s="140" cm="1">
        <f t="array" ref="A57">A56+1</f>
        <v>42</v>
      </c>
      <c r="B57" s="79" t="s">
        <v>1175</v>
      </c>
      <c r="C57" s="97">
        <v>1</v>
      </c>
      <c r="D57" s="79" t="s">
        <v>1120</v>
      </c>
      <c r="E57" s="79" t="s">
        <v>1176</v>
      </c>
      <c r="F57" s="79" t="s">
        <v>78</v>
      </c>
      <c r="G57" s="80" t="s">
        <v>1122</v>
      </c>
      <c r="H57" s="81">
        <v>67516</v>
      </c>
      <c r="I57" s="109"/>
      <c r="J57" s="110">
        <v>25</v>
      </c>
      <c r="K57" s="107" t="s">
        <v>1125</v>
      </c>
      <c r="L57" s="103">
        <v>46099</v>
      </c>
      <c r="M57" s="85">
        <v>46115</v>
      </c>
      <c r="N57" s="86">
        <v>46119</v>
      </c>
      <c r="O57" s="87">
        <v>0</v>
      </c>
      <c r="P57" s="88">
        <v>0</v>
      </c>
      <c r="Q57" s="89">
        <v>46113</v>
      </c>
      <c r="R57" s="96">
        <v>46136</v>
      </c>
      <c r="S57" s="86" cm="1">
        <f t="array" ref="S57">WORKDAY(R57,7)</f>
        <v>46147</v>
      </c>
      <c r="T57" s="87">
        <v>0</v>
      </c>
      <c r="U57" s="91" t="s">
        <v>105</v>
      </c>
      <c r="V57" s="92">
        <v>0</v>
      </c>
      <c r="W57" s="93" cm="1">
        <f t="array" ref="W57">WORKDAY(X57,-20)</f>
        <v>46129</v>
      </c>
      <c r="X57" s="80" t="s">
        <v>153</v>
      </c>
      <c r="Y57" s="88">
        <v>0</v>
      </c>
      <c r="Z57" s="93">
        <v>46162</v>
      </c>
      <c r="AA57" s="90">
        <v>46220</v>
      </c>
      <c r="AB57" s="88">
        <v>0</v>
      </c>
      <c r="AC57" s="79" t="s">
        <v>49</v>
      </c>
      <c r="AD57" s="79" t="s">
        <v>49</v>
      </c>
      <c r="AE57" s="90"/>
      <c r="AF57" s="88">
        <v>0</v>
      </c>
      <c r="AG57" s="93" cm="1">
        <f t="array" ref="AG57">WORKDAY(AA57,2)</f>
        <v>46224</v>
      </c>
      <c r="AH57" s="90" cm="1">
        <f t="array" ref="AH57">WORKDAY(AG57,1)</f>
        <v>46225</v>
      </c>
      <c r="AI57" s="86" cm="1">
        <f t="array" ref="AI57">WORKDAY(AH57,1)</f>
        <v>46226</v>
      </c>
      <c r="AJ57" s="144"/>
      <c r="AK57" s="56"/>
    </row>
    <row r="58" spans="1:37" ht="25.5" customHeight="1">
      <c r="A58" s="140" cm="1">
        <f t="array" ref="A58">A57+1</f>
        <v>43</v>
      </c>
      <c r="B58" s="79" t="s">
        <v>1177</v>
      </c>
      <c r="C58" s="97">
        <v>1</v>
      </c>
      <c r="D58" s="79" t="s">
        <v>1120</v>
      </c>
      <c r="E58" s="79" t="s">
        <v>1178</v>
      </c>
      <c r="F58" s="79" t="s">
        <v>78</v>
      </c>
      <c r="G58" s="80" t="s">
        <v>1122</v>
      </c>
      <c r="H58" s="81">
        <v>67516</v>
      </c>
      <c r="I58" s="109"/>
      <c r="J58" s="110">
        <v>26</v>
      </c>
      <c r="K58" s="107" t="s">
        <v>1125</v>
      </c>
      <c r="L58" s="84">
        <v>46099</v>
      </c>
      <c r="M58" s="85">
        <v>46115</v>
      </c>
      <c r="N58" s="86">
        <v>46119</v>
      </c>
      <c r="O58" s="87">
        <v>0</v>
      </c>
      <c r="P58" s="88">
        <v>0</v>
      </c>
      <c r="Q58" s="89">
        <v>46113</v>
      </c>
      <c r="R58" s="96">
        <v>46136</v>
      </c>
      <c r="S58" s="86" cm="1">
        <f t="array" ref="S58">WORKDAY(R58,7)</f>
        <v>46147</v>
      </c>
      <c r="T58" s="87">
        <v>0</v>
      </c>
      <c r="U58" s="91" t="s">
        <v>105</v>
      </c>
      <c r="V58" s="92">
        <v>0</v>
      </c>
      <c r="W58" s="93" cm="1">
        <f t="array" ref="W58">WORKDAY(X58,-20)</f>
        <v>46132</v>
      </c>
      <c r="X58" s="80" t="s">
        <v>156</v>
      </c>
      <c r="Y58" s="88">
        <v>0</v>
      </c>
      <c r="Z58" s="93">
        <v>46163</v>
      </c>
      <c r="AA58" s="90">
        <v>46220</v>
      </c>
      <c r="AB58" s="88">
        <v>0</v>
      </c>
      <c r="AC58" s="79" t="s">
        <v>49</v>
      </c>
      <c r="AD58" s="79" t="s">
        <v>49</v>
      </c>
      <c r="AE58" s="90"/>
      <c r="AF58" s="88">
        <v>0</v>
      </c>
      <c r="AG58" s="93" cm="1">
        <f t="array" ref="AG58">WORKDAY(AA58,2)</f>
        <v>46224</v>
      </c>
      <c r="AH58" s="90" cm="1">
        <f t="array" ref="AH58">WORKDAY(AG58,1)</f>
        <v>46225</v>
      </c>
      <c r="AI58" s="86" cm="1">
        <f t="array" ref="AI58">WORKDAY(AH58,1)</f>
        <v>46226</v>
      </c>
      <c r="AJ58" s="144"/>
      <c r="AK58" s="56"/>
    </row>
    <row r="59" spans="1:37" ht="25.5" customHeight="1">
      <c r="A59" s="140" cm="1">
        <f t="array" ref="A59">A58+1</f>
        <v>44</v>
      </c>
      <c r="B59" s="79" t="s">
        <v>163</v>
      </c>
      <c r="C59" s="97">
        <v>1</v>
      </c>
      <c r="D59" s="79" t="s">
        <v>148</v>
      </c>
      <c r="E59" s="79" t="s">
        <v>164</v>
      </c>
      <c r="F59" s="79"/>
      <c r="G59" s="80" t="s">
        <v>121</v>
      </c>
      <c r="H59" s="81">
        <v>51109</v>
      </c>
      <c r="I59" s="82">
        <v>14</v>
      </c>
      <c r="J59" s="98"/>
      <c r="K59" s="99" t="s">
        <v>104</v>
      </c>
      <c r="L59" s="84">
        <v>46099</v>
      </c>
      <c r="M59" s="85">
        <v>46472</v>
      </c>
      <c r="N59" s="86">
        <v>46113</v>
      </c>
      <c r="O59" s="87">
        <v>0</v>
      </c>
      <c r="P59" s="88">
        <v>0</v>
      </c>
      <c r="Q59" s="89">
        <v>46113</v>
      </c>
      <c r="R59" s="96">
        <v>46136</v>
      </c>
      <c r="S59" s="86" cm="1">
        <f t="array" ref="S59">WORKDAY(R59,10)</f>
        <v>46150</v>
      </c>
      <c r="T59" s="87">
        <v>0</v>
      </c>
      <c r="U59" s="91" t="s">
        <v>105</v>
      </c>
      <c r="V59" s="92">
        <v>0</v>
      </c>
      <c r="W59" s="93" cm="1">
        <f t="array" ref="W59">WORKDAY(X59,-20)</f>
        <v>46134</v>
      </c>
      <c r="X59" s="80" t="s">
        <v>162</v>
      </c>
      <c r="Y59" s="88">
        <v>0</v>
      </c>
      <c r="Z59" s="93">
        <v>46167</v>
      </c>
      <c r="AA59" s="90">
        <v>46223</v>
      </c>
      <c r="AB59" s="88">
        <v>0</v>
      </c>
      <c r="AC59" s="79" t="s">
        <v>49</v>
      </c>
      <c r="AD59" s="79" t="s">
        <v>49</v>
      </c>
      <c r="AE59" s="90"/>
      <c r="AF59" s="88">
        <v>0</v>
      </c>
      <c r="AG59" s="93" cm="1">
        <f t="array" ref="AG59">WORKDAY(AA59,2)</f>
        <v>46225</v>
      </c>
      <c r="AH59" s="90" cm="1">
        <f t="array" ref="AH59">WORKDAY(AG59,1)</f>
        <v>46226</v>
      </c>
      <c r="AI59" s="86" cm="1">
        <f t="array" ref="AI59">WORKDAY(AH59,1)</f>
        <v>46227</v>
      </c>
      <c r="AJ59" s="144"/>
      <c r="AK59" s="56"/>
    </row>
    <row r="60" spans="1:37" ht="25.5" customHeight="1">
      <c r="A60" s="140" cm="1">
        <f t="array" ref="A60">A59+1</f>
        <v>45</v>
      </c>
      <c r="B60" s="79" t="s">
        <v>1179</v>
      </c>
      <c r="C60" s="97">
        <v>1</v>
      </c>
      <c r="D60" s="79" t="s">
        <v>1120</v>
      </c>
      <c r="E60" s="79" t="s">
        <v>1180</v>
      </c>
      <c r="F60" s="79" t="s">
        <v>78</v>
      </c>
      <c r="G60" s="80" t="s">
        <v>1122</v>
      </c>
      <c r="H60" s="81">
        <v>67516</v>
      </c>
      <c r="I60" s="109"/>
      <c r="J60" s="110">
        <v>27</v>
      </c>
      <c r="K60" s="107" t="s">
        <v>1125</v>
      </c>
      <c r="L60" s="84">
        <v>46099</v>
      </c>
      <c r="M60" s="85">
        <v>46115</v>
      </c>
      <c r="N60" s="86">
        <v>46119</v>
      </c>
      <c r="O60" s="87">
        <v>0</v>
      </c>
      <c r="P60" s="88">
        <v>0</v>
      </c>
      <c r="Q60" s="89">
        <v>46113</v>
      </c>
      <c r="R60" s="96">
        <v>46136</v>
      </c>
      <c r="S60" s="86" cm="1">
        <f t="array" ref="S60">WORKDAY(R60,7)</f>
        <v>46147</v>
      </c>
      <c r="T60" s="87">
        <v>0</v>
      </c>
      <c r="U60" s="91" t="s">
        <v>105</v>
      </c>
      <c r="V60" s="92">
        <v>0</v>
      </c>
      <c r="W60" s="93" cm="1">
        <f t="array" ref="W60">WORKDAY(X60,-20)</f>
        <v>46133</v>
      </c>
      <c r="X60" s="80" t="s">
        <v>159</v>
      </c>
      <c r="Y60" s="88">
        <v>0</v>
      </c>
      <c r="Z60" s="93">
        <v>46164</v>
      </c>
      <c r="AA60" s="90">
        <v>46223</v>
      </c>
      <c r="AB60" s="88">
        <v>0</v>
      </c>
      <c r="AC60" s="79" t="s">
        <v>49</v>
      </c>
      <c r="AD60" s="79" t="s">
        <v>49</v>
      </c>
      <c r="AE60" s="90"/>
      <c r="AF60" s="88">
        <v>0</v>
      </c>
      <c r="AG60" s="93" cm="1">
        <f t="array" ref="AG60">WORKDAY(AA60,2)</f>
        <v>46225</v>
      </c>
      <c r="AH60" s="90" cm="1">
        <f t="array" ref="AH60">WORKDAY(AG60,1)</f>
        <v>46226</v>
      </c>
      <c r="AI60" s="86" cm="1">
        <f t="array" ref="AI60">WORKDAY(AH60,1)</f>
        <v>46227</v>
      </c>
      <c r="AJ60" s="144"/>
      <c r="AK60" s="56"/>
    </row>
    <row r="61" spans="1:37" ht="25.5" customHeight="1">
      <c r="A61" s="140" cm="1">
        <f t="array" ref="A61">A60+1</f>
        <v>46</v>
      </c>
      <c r="B61" s="79" t="s">
        <v>1181</v>
      </c>
      <c r="C61" s="97">
        <v>1</v>
      </c>
      <c r="D61" s="79" t="s">
        <v>1120</v>
      </c>
      <c r="E61" s="79" t="s">
        <v>1182</v>
      </c>
      <c r="F61" s="79" t="s">
        <v>78</v>
      </c>
      <c r="G61" s="80" t="s">
        <v>1122</v>
      </c>
      <c r="H61" s="81">
        <v>67516</v>
      </c>
      <c r="I61" s="109"/>
      <c r="J61" s="110">
        <v>28</v>
      </c>
      <c r="K61" s="100">
        <v>0.6</v>
      </c>
      <c r="L61" s="84">
        <v>46099</v>
      </c>
      <c r="M61" s="85">
        <v>46119</v>
      </c>
      <c r="N61" s="86" cm="1">
        <f t="array" ref="N61">WORKDAY(M61,2)</f>
        <v>46121</v>
      </c>
      <c r="O61" s="87">
        <v>0</v>
      </c>
      <c r="P61" s="88">
        <v>0</v>
      </c>
      <c r="Q61" s="89">
        <v>46113</v>
      </c>
      <c r="R61" s="96">
        <v>46136</v>
      </c>
      <c r="S61" s="86" cm="1">
        <f t="array" ref="S61">WORKDAY(R61,7)</f>
        <v>46147</v>
      </c>
      <c r="T61" s="87">
        <v>0</v>
      </c>
      <c r="U61" s="91" t="s">
        <v>105</v>
      </c>
      <c r="V61" s="92">
        <v>0</v>
      </c>
      <c r="W61" s="93" cm="1">
        <f t="array" ref="W61">WORKDAY(X61,-20)</f>
        <v>46146</v>
      </c>
      <c r="X61" s="80" t="s">
        <v>1183</v>
      </c>
      <c r="Y61" s="88">
        <v>0</v>
      </c>
      <c r="Z61" s="93">
        <v>46175</v>
      </c>
      <c r="AA61" s="90">
        <v>46223</v>
      </c>
      <c r="AB61" s="88">
        <v>0</v>
      </c>
      <c r="AC61" s="79" t="s">
        <v>49</v>
      </c>
      <c r="AD61" s="79" t="s">
        <v>49</v>
      </c>
      <c r="AE61" s="90"/>
      <c r="AF61" s="88">
        <v>0</v>
      </c>
      <c r="AG61" s="93" cm="1">
        <f t="array" ref="AG61">WORKDAY(AA61,2)</f>
        <v>46225</v>
      </c>
      <c r="AH61" s="90" cm="1">
        <f t="array" ref="AH61">WORKDAY(AG61,1)</f>
        <v>46226</v>
      </c>
      <c r="AI61" s="86" cm="1">
        <f t="array" ref="AI61">WORKDAY(AH61,1)</f>
        <v>46227</v>
      </c>
      <c r="AJ61" s="144"/>
      <c r="AK61" s="56"/>
    </row>
    <row r="62" spans="1:37" ht="25.5" customHeight="1">
      <c r="A62" s="140" cm="1">
        <f t="array" ref="A62">A61+1</f>
        <v>47</v>
      </c>
      <c r="B62" s="79" t="s">
        <v>165</v>
      </c>
      <c r="C62" s="97">
        <v>1</v>
      </c>
      <c r="D62" s="79" t="s">
        <v>166</v>
      </c>
      <c r="E62" s="79" t="s">
        <v>167</v>
      </c>
      <c r="F62" s="79"/>
      <c r="G62" s="80" t="s">
        <v>168</v>
      </c>
      <c r="H62" s="81">
        <v>53632</v>
      </c>
      <c r="I62" s="82">
        <v>15</v>
      </c>
      <c r="J62" s="98"/>
      <c r="K62" s="100">
        <v>0.4</v>
      </c>
      <c r="L62" s="84">
        <v>46099</v>
      </c>
      <c r="M62" s="85">
        <v>46122</v>
      </c>
      <c r="N62" s="86" cm="1">
        <f t="array" ref="N62">WORKDAY(M62,5)</f>
        <v>46129</v>
      </c>
      <c r="O62" s="87">
        <v>0</v>
      </c>
      <c r="P62" s="88">
        <v>0</v>
      </c>
      <c r="Q62" s="89">
        <v>46113</v>
      </c>
      <c r="R62" s="96">
        <v>46136</v>
      </c>
      <c r="S62" s="86" cm="1">
        <f t="array" ref="S62">WORKDAY(R62,10)</f>
        <v>46150</v>
      </c>
      <c r="T62" s="87">
        <v>0</v>
      </c>
      <c r="U62" s="91" t="s">
        <v>105</v>
      </c>
      <c r="V62" s="92">
        <v>0</v>
      </c>
      <c r="W62" s="93" cm="1">
        <f t="array" ref="W62">WORKDAY(X62,-20)</f>
        <v>46135</v>
      </c>
      <c r="X62" s="80" t="s">
        <v>169</v>
      </c>
      <c r="Y62" s="88">
        <v>0</v>
      </c>
      <c r="Z62" s="93">
        <v>46168</v>
      </c>
      <c r="AA62" s="90">
        <v>46224</v>
      </c>
      <c r="AB62" s="88">
        <v>0</v>
      </c>
      <c r="AC62" s="79" t="s">
        <v>49</v>
      </c>
      <c r="AD62" s="79" t="s">
        <v>49</v>
      </c>
      <c r="AE62" s="90"/>
      <c r="AF62" s="88">
        <v>0</v>
      </c>
      <c r="AG62" s="93" cm="1">
        <f t="array" ref="AG62">WORKDAY(AA62,2)</f>
        <v>46226</v>
      </c>
      <c r="AH62" s="90" cm="1">
        <f t="array" ref="AH62">WORKDAY(AG62,1)</f>
        <v>46227</v>
      </c>
      <c r="AI62" s="86" cm="1">
        <f t="array" ref="AI62">WORKDAY(AH62,1)</f>
        <v>46230</v>
      </c>
      <c r="AJ62" s="144"/>
      <c r="AK62" s="56"/>
    </row>
    <row r="63" spans="1:37" ht="25.5" customHeight="1">
      <c r="A63" s="140" cm="1">
        <f t="array" ref="A63">A62+1</f>
        <v>48</v>
      </c>
      <c r="B63" s="79" t="s">
        <v>1184</v>
      </c>
      <c r="C63" s="97">
        <v>1</v>
      </c>
      <c r="D63" s="79" t="s">
        <v>1185</v>
      </c>
      <c r="E63" s="79" t="s">
        <v>1186</v>
      </c>
      <c r="F63" s="79" t="s">
        <v>78</v>
      </c>
      <c r="G63" s="80" t="s">
        <v>1122</v>
      </c>
      <c r="H63" s="81">
        <v>67516</v>
      </c>
      <c r="I63" s="109"/>
      <c r="J63" s="110">
        <v>29</v>
      </c>
      <c r="K63" s="100">
        <v>0</v>
      </c>
      <c r="L63" s="105" cm="1">
        <f t="array" ref="L63">WORKDAY(M63,-10)</f>
        <v>46113</v>
      </c>
      <c r="M63" s="85">
        <v>46127</v>
      </c>
      <c r="N63" s="86" cm="1">
        <f t="array" ref="N63">WORKDAY(M63,5)</f>
        <v>46134</v>
      </c>
      <c r="O63" s="87">
        <v>0</v>
      </c>
      <c r="P63" s="88">
        <v>0</v>
      </c>
      <c r="Q63" s="89">
        <v>46113</v>
      </c>
      <c r="R63" s="96">
        <v>46136</v>
      </c>
      <c r="S63" s="86" cm="1">
        <f t="array" ref="S63">WORKDAY(R63,7)</f>
        <v>46147</v>
      </c>
      <c r="T63" s="87">
        <v>0</v>
      </c>
      <c r="U63" s="91" t="s">
        <v>105</v>
      </c>
      <c r="V63" s="92">
        <v>0</v>
      </c>
      <c r="W63" s="93" cm="1">
        <f t="array" ref="W63">WORKDAY(X63,-20)</f>
        <v>46146</v>
      </c>
      <c r="X63" s="80" t="s">
        <v>1183</v>
      </c>
      <c r="Y63" s="88">
        <v>0</v>
      </c>
      <c r="Z63" s="93">
        <v>46175</v>
      </c>
      <c r="AA63" s="90">
        <v>46224</v>
      </c>
      <c r="AB63" s="88">
        <v>0</v>
      </c>
      <c r="AC63" s="79" t="s">
        <v>49</v>
      </c>
      <c r="AD63" s="79" t="s">
        <v>49</v>
      </c>
      <c r="AE63" s="90"/>
      <c r="AF63" s="88">
        <v>0</v>
      </c>
      <c r="AG63" s="93" cm="1">
        <f t="array" ref="AG63">WORKDAY(AA63,2)</f>
        <v>46226</v>
      </c>
      <c r="AH63" s="90" cm="1">
        <f t="array" ref="AH63">WORKDAY(AG63,1)</f>
        <v>46227</v>
      </c>
      <c r="AI63" s="86" cm="1">
        <f t="array" ref="AI63">WORKDAY(AH63,1)</f>
        <v>46230</v>
      </c>
      <c r="AJ63" s="144"/>
      <c r="AK63" s="56"/>
    </row>
    <row r="64" spans="1:37" ht="25.5" customHeight="1">
      <c r="A64" s="140" cm="1">
        <f t="array" ref="A64">A63+1</f>
        <v>49</v>
      </c>
      <c r="B64" s="79" t="s">
        <v>1187</v>
      </c>
      <c r="C64" s="97">
        <v>1</v>
      </c>
      <c r="D64" s="79" t="s">
        <v>1188</v>
      </c>
      <c r="E64" s="79" t="s">
        <v>1189</v>
      </c>
      <c r="F64" s="79" t="s">
        <v>78</v>
      </c>
      <c r="G64" s="80" t="s">
        <v>1122</v>
      </c>
      <c r="H64" s="81">
        <v>67516</v>
      </c>
      <c r="I64" s="109"/>
      <c r="J64" s="110">
        <v>30</v>
      </c>
      <c r="K64" s="100">
        <v>0</v>
      </c>
      <c r="L64" s="105" cm="1">
        <f t="array" ref="L64">WORKDAY(M64,-10)</f>
        <v>46113</v>
      </c>
      <c r="M64" s="85">
        <v>46127</v>
      </c>
      <c r="N64" s="86" cm="1">
        <f t="array" ref="N64">WORKDAY(M64,5)</f>
        <v>46134</v>
      </c>
      <c r="O64" s="87">
        <v>0</v>
      </c>
      <c r="P64" s="88">
        <v>0</v>
      </c>
      <c r="Q64" s="89">
        <v>46113</v>
      </c>
      <c r="R64" s="96">
        <v>46136</v>
      </c>
      <c r="S64" s="86" cm="1">
        <f t="array" ref="S64">WORKDAY(R64,7)</f>
        <v>46147</v>
      </c>
      <c r="T64" s="87">
        <v>0</v>
      </c>
      <c r="U64" s="91" t="s">
        <v>105</v>
      </c>
      <c r="V64" s="92">
        <v>0</v>
      </c>
      <c r="W64" s="93" cm="1">
        <f t="array" ref="W64">WORKDAY(X64,-20)</f>
        <v>46147</v>
      </c>
      <c r="X64" s="80" t="s">
        <v>1190</v>
      </c>
      <c r="Y64" s="88">
        <v>0</v>
      </c>
      <c r="Z64" s="93">
        <v>46176</v>
      </c>
      <c r="AA64" s="90">
        <v>46224</v>
      </c>
      <c r="AB64" s="88">
        <v>0</v>
      </c>
      <c r="AC64" s="79" t="s">
        <v>49</v>
      </c>
      <c r="AD64" s="79" t="s">
        <v>49</v>
      </c>
      <c r="AE64" s="90"/>
      <c r="AF64" s="88">
        <v>0</v>
      </c>
      <c r="AG64" s="93" cm="1">
        <f t="array" ref="AG64">WORKDAY(AA64,2)</f>
        <v>46226</v>
      </c>
      <c r="AH64" s="90" cm="1">
        <f t="array" ref="AH64">WORKDAY(AG64,1)</f>
        <v>46227</v>
      </c>
      <c r="AI64" s="86" cm="1">
        <f t="array" ref="AI64">WORKDAY(AH64,1)</f>
        <v>46230</v>
      </c>
      <c r="AJ64" s="144"/>
      <c r="AK64" s="56"/>
    </row>
    <row r="65" spans="1:37" ht="25.5" customHeight="1">
      <c r="A65" s="140" cm="1">
        <f t="array" ref="A65">A64+1</f>
        <v>50</v>
      </c>
      <c r="B65" s="79" t="s">
        <v>170</v>
      </c>
      <c r="C65" s="97">
        <v>1</v>
      </c>
      <c r="D65" s="79" t="s">
        <v>166</v>
      </c>
      <c r="E65" s="79" t="s">
        <v>171</v>
      </c>
      <c r="F65" s="79"/>
      <c r="G65" s="80" t="s">
        <v>168</v>
      </c>
      <c r="H65" s="81">
        <v>53632</v>
      </c>
      <c r="I65" s="82">
        <v>16</v>
      </c>
      <c r="J65" s="98"/>
      <c r="K65" s="100">
        <v>0.4</v>
      </c>
      <c r="L65" s="84">
        <v>46099</v>
      </c>
      <c r="M65" s="85">
        <v>46122</v>
      </c>
      <c r="N65" s="86" cm="1">
        <f t="array" ref="N65">WORKDAY(M65,5)</f>
        <v>46129</v>
      </c>
      <c r="O65" s="87">
        <v>0</v>
      </c>
      <c r="P65" s="88">
        <v>0</v>
      </c>
      <c r="Q65" s="89">
        <v>46113</v>
      </c>
      <c r="R65" s="96">
        <v>46136</v>
      </c>
      <c r="S65" s="86" cm="1">
        <f t="array" ref="S65">WORKDAY(R65,10)</f>
        <v>46150</v>
      </c>
      <c r="T65" s="87">
        <v>0</v>
      </c>
      <c r="U65" s="91" t="s">
        <v>105</v>
      </c>
      <c r="V65" s="92">
        <v>0</v>
      </c>
      <c r="W65" s="93" cm="1">
        <f t="array" ref="W65">WORKDAY(X65,-20)</f>
        <v>46135</v>
      </c>
      <c r="X65" s="80" t="s">
        <v>169</v>
      </c>
      <c r="Y65" s="88">
        <v>0</v>
      </c>
      <c r="Z65" s="93">
        <v>46168</v>
      </c>
      <c r="AA65" s="90">
        <v>46225</v>
      </c>
      <c r="AB65" s="88">
        <v>0</v>
      </c>
      <c r="AC65" s="79" t="s">
        <v>49</v>
      </c>
      <c r="AD65" s="79" t="s">
        <v>49</v>
      </c>
      <c r="AE65" s="90"/>
      <c r="AF65" s="88">
        <v>0</v>
      </c>
      <c r="AG65" s="93" cm="1">
        <f t="array" ref="AG65">WORKDAY(AA65,2)</f>
        <v>46227</v>
      </c>
      <c r="AH65" s="90" cm="1">
        <f t="array" ref="AH65">WORKDAY(AG65,1)</f>
        <v>46230</v>
      </c>
      <c r="AI65" s="86" cm="1">
        <f t="array" ref="AI65">WORKDAY(AH65,1)</f>
        <v>46231</v>
      </c>
      <c r="AJ65" s="144"/>
      <c r="AK65" s="56"/>
    </row>
    <row r="66" spans="1:37" ht="25.5" customHeight="1">
      <c r="A66" s="140" cm="1">
        <f t="array" ref="A66">A65+1</f>
        <v>51</v>
      </c>
      <c r="B66" s="79" t="s">
        <v>172</v>
      </c>
      <c r="C66" s="97">
        <v>1</v>
      </c>
      <c r="D66" s="79" t="s">
        <v>166</v>
      </c>
      <c r="E66" s="79" t="s">
        <v>173</v>
      </c>
      <c r="F66" s="79"/>
      <c r="G66" s="80" t="s">
        <v>168</v>
      </c>
      <c r="H66" s="81">
        <v>53632</v>
      </c>
      <c r="I66" s="82">
        <v>17</v>
      </c>
      <c r="J66" s="98"/>
      <c r="K66" s="100">
        <v>0.4</v>
      </c>
      <c r="L66" s="84">
        <v>46099</v>
      </c>
      <c r="M66" s="85">
        <v>46122</v>
      </c>
      <c r="N66" s="86" cm="1">
        <f t="array" ref="N66">WORKDAY(M66,5)</f>
        <v>46129</v>
      </c>
      <c r="O66" s="87">
        <v>0</v>
      </c>
      <c r="P66" s="88">
        <v>0</v>
      </c>
      <c r="Q66" s="89">
        <v>46113</v>
      </c>
      <c r="R66" s="96">
        <v>46136</v>
      </c>
      <c r="S66" s="86" cm="1">
        <f t="array" ref="S66">WORKDAY(R66,10)</f>
        <v>46150</v>
      </c>
      <c r="T66" s="87">
        <v>0</v>
      </c>
      <c r="U66" s="91" t="s">
        <v>105</v>
      </c>
      <c r="V66" s="92">
        <v>0</v>
      </c>
      <c r="W66" s="93" cm="1">
        <f t="array" ref="W66">WORKDAY(X66,-20)</f>
        <v>46136</v>
      </c>
      <c r="X66" s="80" t="s">
        <v>174</v>
      </c>
      <c r="Y66" s="88">
        <v>0</v>
      </c>
      <c r="Z66" s="93">
        <v>46169</v>
      </c>
      <c r="AA66" s="90">
        <v>46225</v>
      </c>
      <c r="AB66" s="88">
        <v>0</v>
      </c>
      <c r="AC66" s="79" t="s">
        <v>49</v>
      </c>
      <c r="AD66" s="79" t="s">
        <v>49</v>
      </c>
      <c r="AE66" s="90"/>
      <c r="AF66" s="88">
        <v>0</v>
      </c>
      <c r="AG66" s="93" cm="1">
        <f t="array" ref="AG66">WORKDAY(AA66,2)</f>
        <v>46227</v>
      </c>
      <c r="AH66" s="90" cm="1">
        <f t="array" ref="AH66">WORKDAY(AG66,1)</f>
        <v>46230</v>
      </c>
      <c r="AI66" s="86" cm="1">
        <f t="array" ref="AI66">WORKDAY(AH66,1)</f>
        <v>46231</v>
      </c>
      <c r="AJ66" s="144"/>
      <c r="AK66" s="56"/>
    </row>
    <row r="67" spans="1:37" ht="25.5" customHeight="1">
      <c r="A67" s="140" cm="1">
        <f t="array" ref="A67">A66+1</f>
        <v>52</v>
      </c>
      <c r="B67" s="79" t="s">
        <v>1191</v>
      </c>
      <c r="C67" s="97">
        <v>1</v>
      </c>
      <c r="D67" s="79" t="s">
        <v>1188</v>
      </c>
      <c r="E67" s="79" t="s">
        <v>1192</v>
      </c>
      <c r="F67" s="79" t="s">
        <v>78</v>
      </c>
      <c r="G67" s="80" t="s">
        <v>1122</v>
      </c>
      <c r="H67" s="81">
        <v>67516</v>
      </c>
      <c r="I67" s="109"/>
      <c r="J67" s="110">
        <v>31</v>
      </c>
      <c r="K67" s="100">
        <v>0</v>
      </c>
      <c r="L67" s="105" cm="1">
        <f t="array" ref="L67">WORKDAY(M67,-10)</f>
        <v>46113</v>
      </c>
      <c r="M67" s="85">
        <v>46127</v>
      </c>
      <c r="N67" s="86" cm="1">
        <f t="array" ref="N67">WORKDAY(M67,5)</f>
        <v>46134</v>
      </c>
      <c r="O67" s="87">
        <v>0</v>
      </c>
      <c r="P67" s="88">
        <v>0</v>
      </c>
      <c r="Q67" s="89">
        <v>46113</v>
      </c>
      <c r="R67" s="96">
        <v>46136</v>
      </c>
      <c r="S67" s="86" cm="1">
        <f t="array" ref="S67">WORKDAY(R67,7)</f>
        <v>46147</v>
      </c>
      <c r="T67" s="87">
        <v>0</v>
      </c>
      <c r="U67" s="91" t="s">
        <v>105</v>
      </c>
      <c r="V67" s="92">
        <v>0</v>
      </c>
      <c r="W67" s="93" cm="1">
        <f t="array" ref="W67">WORKDAY(X67,-20)</f>
        <v>46147</v>
      </c>
      <c r="X67" s="80" t="s">
        <v>1190</v>
      </c>
      <c r="Y67" s="88">
        <v>0</v>
      </c>
      <c r="Z67" s="93">
        <v>46176</v>
      </c>
      <c r="AA67" s="90">
        <v>46225</v>
      </c>
      <c r="AB67" s="88">
        <v>0</v>
      </c>
      <c r="AC67" s="79" t="s">
        <v>49</v>
      </c>
      <c r="AD67" s="79" t="s">
        <v>49</v>
      </c>
      <c r="AE67" s="90"/>
      <c r="AF67" s="88">
        <v>0</v>
      </c>
      <c r="AG67" s="93" cm="1">
        <f t="array" ref="AG67">WORKDAY(AA67,2)</f>
        <v>46227</v>
      </c>
      <c r="AH67" s="90" cm="1">
        <f t="array" ref="AH67">WORKDAY(AG67,1)</f>
        <v>46230</v>
      </c>
      <c r="AI67" s="86" cm="1">
        <f t="array" ref="AI67">WORKDAY(AH67,1)</f>
        <v>46231</v>
      </c>
      <c r="AJ67" s="144"/>
      <c r="AK67" s="56"/>
    </row>
    <row r="68" spans="1:37" ht="25.5" customHeight="1">
      <c r="A68" s="140" cm="1">
        <f t="array" ref="A68">A67+1</f>
        <v>53</v>
      </c>
      <c r="B68" s="79" t="s">
        <v>1193</v>
      </c>
      <c r="C68" s="97">
        <v>1</v>
      </c>
      <c r="D68" s="79" t="s">
        <v>1188</v>
      </c>
      <c r="E68" s="79" t="s">
        <v>1194</v>
      </c>
      <c r="F68" s="79" t="s">
        <v>78</v>
      </c>
      <c r="G68" s="80" t="s">
        <v>1122</v>
      </c>
      <c r="H68" s="81">
        <v>67516</v>
      </c>
      <c r="I68" s="109"/>
      <c r="J68" s="110">
        <v>32</v>
      </c>
      <c r="K68" s="100">
        <v>0</v>
      </c>
      <c r="L68" s="105" cm="1">
        <f t="array" ref="L68">WORKDAY(M68,-10)</f>
        <v>46113</v>
      </c>
      <c r="M68" s="85">
        <v>46127</v>
      </c>
      <c r="N68" s="86" cm="1">
        <f t="array" ref="N68">WORKDAY(M68,5)</f>
        <v>46134</v>
      </c>
      <c r="O68" s="87">
        <v>0</v>
      </c>
      <c r="P68" s="88">
        <v>0</v>
      </c>
      <c r="Q68" s="89">
        <v>46113</v>
      </c>
      <c r="R68" s="96">
        <v>46136</v>
      </c>
      <c r="S68" s="86" cm="1">
        <f t="array" ref="S68">WORKDAY(R68,7)</f>
        <v>46147</v>
      </c>
      <c r="T68" s="87">
        <v>0</v>
      </c>
      <c r="U68" s="91" t="s">
        <v>105</v>
      </c>
      <c r="V68" s="92">
        <v>0</v>
      </c>
      <c r="W68" s="93" cm="1">
        <f t="array" ref="W68">WORKDAY(X68,-20)</f>
        <v>46148</v>
      </c>
      <c r="X68" s="80" t="s">
        <v>1195</v>
      </c>
      <c r="Y68" s="88">
        <v>0</v>
      </c>
      <c r="Z68" s="93">
        <v>46177</v>
      </c>
      <c r="AA68" s="90">
        <v>46225</v>
      </c>
      <c r="AB68" s="88">
        <v>0</v>
      </c>
      <c r="AC68" s="79" t="s">
        <v>49</v>
      </c>
      <c r="AD68" s="79" t="s">
        <v>49</v>
      </c>
      <c r="AE68" s="90"/>
      <c r="AF68" s="88">
        <v>0</v>
      </c>
      <c r="AG68" s="93" cm="1">
        <f t="array" ref="AG68">WORKDAY(AA68,2)</f>
        <v>46227</v>
      </c>
      <c r="AH68" s="90" cm="1">
        <f t="array" ref="AH68">WORKDAY(AG68,1)</f>
        <v>46230</v>
      </c>
      <c r="AI68" s="86" cm="1">
        <f t="array" ref="AI68">WORKDAY(AH68,1)</f>
        <v>46231</v>
      </c>
      <c r="AJ68" s="144"/>
      <c r="AK68" s="56"/>
    </row>
    <row r="69" spans="1:37" ht="25.5" customHeight="1">
      <c r="A69" s="140" cm="1">
        <f t="array" ref="A69">A68+1</f>
        <v>54</v>
      </c>
      <c r="B69" s="79" t="s">
        <v>175</v>
      </c>
      <c r="C69" s="97">
        <v>1</v>
      </c>
      <c r="D69" s="79" t="s">
        <v>166</v>
      </c>
      <c r="E69" s="79" t="s">
        <v>176</v>
      </c>
      <c r="F69" s="79"/>
      <c r="G69" s="80" t="s">
        <v>168</v>
      </c>
      <c r="H69" s="81">
        <v>53632</v>
      </c>
      <c r="I69" s="82">
        <v>18</v>
      </c>
      <c r="J69" s="98"/>
      <c r="K69" s="100">
        <v>0.4</v>
      </c>
      <c r="L69" s="84">
        <v>46099</v>
      </c>
      <c r="M69" s="85">
        <v>46122</v>
      </c>
      <c r="N69" s="86" cm="1">
        <f t="array" ref="N69">WORKDAY(M69,5)</f>
        <v>46129</v>
      </c>
      <c r="O69" s="87">
        <v>0</v>
      </c>
      <c r="P69" s="88">
        <v>0</v>
      </c>
      <c r="Q69" s="89">
        <v>46113</v>
      </c>
      <c r="R69" s="96">
        <v>46136</v>
      </c>
      <c r="S69" s="86" cm="1">
        <f t="array" ref="S69">WORKDAY(R69,10)</f>
        <v>46150</v>
      </c>
      <c r="T69" s="87">
        <v>0</v>
      </c>
      <c r="U69" s="91" t="s">
        <v>105</v>
      </c>
      <c r="V69" s="92">
        <v>0</v>
      </c>
      <c r="W69" s="93" cm="1">
        <f t="array" ref="W69">WORKDAY(X69,-20)</f>
        <v>46136</v>
      </c>
      <c r="X69" s="80" t="s">
        <v>174</v>
      </c>
      <c r="Y69" s="88">
        <v>0</v>
      </c>
      <c r="Z69" s="93">
        <v>46169</v>
      </c>
      <c r="AA69" s="90">
        <v>46226</v>
      </c>
      <c r="AB69" s="88">
        <v>0</v>
      </c>
      <c r="AC69" s="79" t="s">
        <v>49</v>
      </c>
      <c r="AD69" s="79" t="s">
        <v>49</v>
      </c>
      <c r="AE69" s="90"/>
      <c r="AF69" s="88">
        <v>0</v>
      </c>
      <c r="AG69" s="93" cm="1">
        <f t="array" ref="AG69">WORKDAY(AA69,2)</f>
        <v>46230</v>
      </c>
      <c r="AH69" s="90" cm="1">
        <f t="array" ref="AH69">WORKDAY(AG69,1)</f>
        <v>46231</v>
      </c>
      <c r="AI69" s="86" cm="1">
        <f t="array" ref="AI69">WORKDAY(AH69,1)</f>
        <v>46232</v>
      </c>
      <c r="AJ69" s="144"/>
      <c r="AK69" s="56"/>
    </row>
    <row r="70" spans="1:37" ht="25.5" customHeight="1">
      <c r="A70" s="140" cm="1">
        <f t="array" ref="A70">A69+1</f>
        <v>55</v>
      </c>
      <c r="B70" s="79" t="s">
        <v>177</v>
      </c>
      <c r="C70" s="97">
        <v>1</v>
      </c>
      <c r="D70" s="79" t="s">
        <v>166</v>
      </c>
      <c r="E70" s="79" t="s">
        <v>178</v>
      </c>
      <c r="F70" s="79"/>
      <c r="G70" s="80" t="s">
        <v>168</v>
      </c>
      <c r="H70" s="81">
        <v>53632</v>
      </c>
      <c r="I70" s="82">
        <v>19</v>
      </c>
      <c r="J70" s="98"/>
      <c r="K70" s="100">
        <v>0.4</v>
      </c>
      <c r="L70" s="84">
        <v>46099</v>
      </c>
      <c r="M70" s="85">
        <v>46122</v>
      </c>
      <c r="N70" s="86" cm="1">
        <f t="array" ref="N70">WORKDAY(M70,5)</f>
        <v>46129</v>
      </c>
      <c r="O70" s="87">
        <v>0</v>
      </c>
      <c r="P70" s="88">
        <v>0</v>
      </c>
      <c r="Q70" s="89">
        <v>46113</v>
      </c>
      <c r="R70" s="96">
        <v>46136</v>
      </c>
      <c r="S70" s="86" cm="1">
        <f t="array" ref="S70">WORKDAY(R70,10)</f>
        <v>46150</v>
      </c>
      <c r="T70" s="87">
        <v>0</v>
      </c>
      <c r="U70" s="91" t="s">
        <v>105</v>
      </c>
      <c r="V70" s="92">
        <v>0</v>
      </c>
      <c r="W70" s="93" cm="1">
        <f t="array" ref="W70">WORKDAY(X70,-20)</f>
        <v>46139</v>
      </c>
      <c r="X70" s="80" t="s">
        <v>179</v>
      </c>
      <c r="Y70" s="88">
        <v>0</v>
      </c>
      <c r="Z70" s="93">
        <v>46170</v>
      </c>
      <c r="AA70" s="90">
        <v>46226</v>
      </c>
      <c r="AB70" s="88">
        <v>0</v>
      </c>
      <c r="AC70" s="79" t="s">
        <v>49</v>
      </c>
      <c r="AD70" s="79" t="s">
        <v>49</v>
      </c>
      <c r="AE70" s="90"/>
      <c r="AF70" s="88">
        <v>0</v>
      </c>
      <c r="AG70" s="93" cm="1">
        <f t="array" ref="AG70">WORKDAY(AA70,2)</f>
        <v>46230</v>
      </c>
      <c r="AH70" s="90" cm="1">
        <f t="array" ref="AH70">WORKDAY(AG70,1)</f>
        <v>46231</v>
      </c>
      <c r="AI70" s="86" cm="1">
        <f t="array" ref="AI70">WORKDAY(AH70,1)</f>
        <v>46232</v>
      </c>
      <c r="AJ70" s="144"/>
      <c r="AK70" s="56"/>
    </row>
    <row r="71" spans="1:37" ht="25.5" customHeight="1">
      <c r="A71" s="140" cm="1">
        <f t="array" ref="A71">A70+1</f>
        <v>56</v>
      </c>
      <c r="B71" s="79" t="s">
        <v>1196</v>
      </c>
      <c r="C71" s="97">
        <v>1</v>
      </c>
      <c r="D71" s="79" t="s">
        <v>1188</v>
      </c>
      <c r="E71" s="79" t="s">
        <v>1197</v>
      </c>
      <c r="F71" s="79" t="s">
        <v>78</v>
      </c>
      <c r="G71" s="80" t="s">
        <v>1122</v>
      </c>
      <c r="H71" s="81">
        <v>67516</v>
      </c>
      <c r="I71" s="109"/>
      <c r="J71" s="110">
        <v>33</v>
      </c>
      <c r="K71" s="100">
        <v>0</v>
      </c>
      <c r="L71" s="105" cm="1">
        <f t="array" ref="L71">WORKDAY(M71,-10)</f>
        <v>46113</v>
      </c>
      <c r="M71" s="85">
        <v>46127</v>
      </c>
      <c r="N71" s="86" cm="1">
        <f t="array" ref="N71">WORKDAY(M71,5)</f>
        <v>46134</v>
      </c>
      <c r="O71" s="87">
        <v>0</v>
      </c>
      <c r="P71" s="88">
        <v>0</v>
      </c>
      <c r="Q71" s="89">
        <v>46113</v>
      </c>
      <c r="R71" s="96">
        <v>46136</v>
      </c>
      <c r="S71" s="86" cm="1">
        <f t="array" ref="S71">WORKDAY(R71,7)</f>
        <v>46147</v>
      </c>
      <c r="T71" s="87">
        <v>0</v>
      </c>
      <c r="U71" s="91" t="s">
        <v>105</v>
      </c>
      <c r="V71" s="92">
        <v>0</v>
      </c>
      <c r="W71" s="93" cm="1">
        <f t="array" ref="W71">WORKDAY(X71,-20)</f>
        <v>46148</v>
      </c>
      <c r="X71" s="80" t="s">
        <v>1195</v>
      </c>
      <c r="Y71" s="88">
        <v>0</v>
      </c>
      <c r="Z71" s="93">
        <v>46177</v>
      </c>
      <c r="AA71" s="90">
        <v>46226</v>
      </c>
      <c r="AB71" s="88">
        <v>0</v>
      </c>
      <c r="AC71" s="79" t="s">
        <v>49</v>
      </c>
      <c r="AD71" s="79" t="s">
        <v>49</v>
      </c>
      <c r="AE71" s="90"/>
      <c r="AF71" s="88">
        <v>0</v>
      </c>
      <c r="AG71" s="93" cm="1">
        <f t="array" ref="AG71">WORKDAY(AA71,2)</f>
        <v>46230</v>
      </c>
      <c r="AH71" s="90" cm="1">
        <f t="array" ref="AH71">WORKDAY(AG71,1)</f>
        <v>46231</v>
      </c>
      <c r="AI71" s="86" cm="1">
        <f t="array" ref="AI71">WORKDAY(AH71,1)</f>
        <v>46232</v>
      </c>
      <c r="AJ71" s="144"/>
      <c r="AK71" s="56"/>
    </row>
    <row r="72" spans="1:37" ht="25.5" customHeight="1">
      <c r="A72" s="140" cm="1">
        <f t="array" ref="A72">A71+1</f>
        <v>57</v>
      </c>
      <c r="B72" s="79" t="s">
        <v>1198</v>
      </c>
      <c r="C72" s="97">
        <v>1</v>
      </c>
      <c r="D72" s="79" t="s">
        <v>1188</v>
      </c>
      <c r="E72" s="79" t="s">
        <v>1199</v>
      </c>
      <c r="F72" s="79" t="s">
        <v>78</v>
      </c>
      <c r="G72" s="80" t="s">
        <v>1122</v>
      </c>
      <c r="H72" s="81">
        <v>67516</v>
      </c>
      <c r="I72" s="109"/>
      <c r="J72" s="110">
        <v>34</v>
      </c>
      <c r="K72" s="100">
        <v>0</v>
      </c>
      <c r="L72" s="105" cm="1">
        <f t="array" ref="L72">WORKDAY(M72,-10)</f>
        <v>46113</v>
      </c>
      <c r="M72" s="85">
        <v>46127</v>
      </c>
      <c r="N72" s="86" cm="1">
        <f t="array" ref="N72">WORKDAY(M72,5)</f>
        <v>46134</v>
      </c>
      <c r="O72" s="87">
        <v>0</v>
      </c>
      <c r="P72" s="88">
        <v>0</v>
      </c>
      <c r="Q72" s="89">
        <v>46113</v>
      </c>
      <c r="R72" s="96">
        <v>46136</v>
      </c>
      <c r="S72" s="86" cm="1">
        <f t="array" ref="S72">WORKDAY(R72,7)</f>
        <v>46147</v>
      </c>
      <c r="T72" s="87">
        <v>0</v>
      </c>
      <c r="U72" s="91" t="s">
        <v>105</v>
      </c>
      <c r="V72" s="92">
        <v>0</v>
      </c>
      <c r="W72" s="93" cm="1">
        <f t="array" ref="W72">WORKDAY(X72,-20)</f>
        <v>46149</v>
      </c>
      <c r="X72" s="80" t="s">
        <v>1200</v>
      </c>
      <c r="Y72" s="88">
        <v>0</v>
      </c>
      <c r="Z72" s="93">
        <v>46178</v>
      </c>
      <c r="AA72" s="90">
        <v>46226</v>
      </c>
      <c r="AB72" s="88">
        <v>0</v>
      </c>
      <c r="AC72" s="79" t="s">
        <v>49</v>
      </c>
      <c r="AD72" s="79" t="s">
        <v>49</v>
      </c>
      <c r="AE72" s="90"/>
      <c r="AF72" s="88">
        <v>0</v>
      </c>
      <c r="AG72" s="93" cm="1">
        <f t="array" ref="AG72">WORKDAY(AA72,2)</f>
        <v>46230</v>
      </c>
      <c r="AH72" s="90" cm="1">
        <f t="array" ref="AH72">WORKDAY(AG72,1)</f>
        <v>46231</v>
      </c>
      <c r="AI72" s="86" cm="1">
        <f t="array" ref="AI72">WORKDAY(AH72,1)</f>
        <v>46232</v>
      </c>
      <c r="AJ72" s="144"/>
      <c r="AK72" s="56"/>
    </row>
    <row r="73" spans="1:37" ht="25.5" customHeight="1">
      <c r="A73" s="140" cm="1">
        <f t="array" ref="A73">A72+1</f>
        <v>58</v>
      </c>
      <c r="B73" s="79" t="s">
        <v>180</v>
      </c>
      <c r="C73" s="97">
        <v>1</v>
      </c>
      <c r="D73" s="79" t="s">
        <v>166</v>
      </c>
      <c r="E73" s="79" t="s">
        <v>181</v>
      </c>
      <c r="F73" s="79"/>
      <c r="G73" s="80" t="s">
        <v>168</v>
      </c>
      <c r="H73" s="81">
        <v>53632</v>
      </c>
      <c r="I73" s="82">
        <v>20</v>
      </c>
      <c r="J73" s="98"/>
      <c r="K73" s="100">
        <v>0.4</v>
      </c>
      <c r="L73" s="84">
        <v>46099</v>
      </c>
      <c r="M73" s="85">
        <v>46122</v>
      </c>
      <c r="N73" s="86" cm="1">
        <f t="array" ref="N73">WORKDAY(M73,5)</f>
        <v>46129</v>
      </c>
      <c r="O73" s="87">
        <v>0</v>
      </c>
      <c r="P73" s="88">
        <v>0</v>
      </c>
      <c r="Q73" s="89">
        <v>46113</v>
      </c>
      <c r="R73" s="96">
        <v>46136</v>
      </c>
      <c r="S73" s="86" cm="1">
        <f t="array" ref="S73">WORKDAY(R73,10)</f>
        <v>46150</v>
      </c>
      <c r="T73" s="87">
        <v>0</v>
      </c>
      <c r="U73" s="91" t="s">
        <v>105</v>
      </c>
      <c r="V73" s="92">
        <v>0</v>
      </c>
      <c r="W73" s="93" cm="1">
        <f t="array" ref="W73">WORKDAY(X73,-20)</f>
        <v>46139</v>
      </c>
      <c r="X73" s="80" t="s">
        <v>179</v>
      </c>
      <c r="Y73" s="88">
        <v>0</v>
      </c>
      <c r="Z73" s="93">
        <v>46170</v>
      </c>
      <c r="AA73" s="90">
        <v>46227</v>
      </c>
      <c r="AB73" s="88">
        <v>0</v>
      </c>
      <c r="AC73" s="79" t="s">
        <v>49</v>
      </c>
      <c r="AD73" s="79" t="s">
        <v>49</v>
      </c>
      <c r="AE73" s="90"/>
      <c r="AF73" s="88">
        <v>0</v>
      </c>
      <c r="AG73" s="93" cm="1">
        <f t="array" ref="AG73">WORKDAY(AA73,2)</f>
        <v>46231</v>
      </c>
      <c r="AH73" s="90" cm="1">
        <f t="array" ref="AH73">WORKDAY(AG73,1)</f>
        <v>46232</v>
      </c>
      <c r="AI73" s="86" cm="1">
        <f t="array" ref="AI73">WORKDAY(AH73,1)</f>
        <v>46233</v>
      </c>
      <c r="AJ73" s="144"/>
      <c r="AK73" s="56"/>
    </row>
    <row r="74" spans="1:37" ht="25.5" customHeight="1">
      <c r="A74" s="140" cm="1">
        <f t="array" ref="A74">A73+1</f>
        <v>59</v>
      </c>
      <c r="B74" s="79" t="s">
        <v>182</v>
      </c>
      <c r="C74" s="97">
        <v>1</v>
      </c>
      <c r="D74" s="79" t="s">
        <v>166</v>
      </c>
      <c r="E74" s="79" t="s">
        <v>183</v>
      </c>
      <c r="F74" s="79"/>
      <c r="G74" s="80" t="s">
        <v>168</v>
      </c>
      <c r="H74" s="81">
        <v>53632</v>
      </c>
      <c r="I74" s="82">
        <v>21</v>
      </c>
      <c r="J74" s="98"/>
      <c r="K74" s="100">
        <v>0.4</v>
      </c>
      <c r="L74" s="84">
        <v>46099</v>
      </c>
      <c r="M74" s="85">
        <v>46122</v>
      </c>
      <c r="N74" s="86" cm="1">
        <f t="array" ref="N74">WORKDAY(M74,5)</f>
        <v>46129</v>
      </c>
      <c r="O74" s="87">
        <v>0</v>
      </c>
      <c r="P74" s="88">
        <v>0</v>
      </c>
      <c r="Q74" s="89">
        <v>46113</v>
      </c>
      <c r="R74" s="96">
        <v>46136</v>
      </c>
      <c r="S74" s="86" cm="1">
        <f t="array" ref="S74">WORKDAY(R74,10)</f>
        <v>46150</v>
      </c>
      <c r="T74" s="87">
        <v>0</v>
      </c>
      <c r="U74" s="91" t="s">
        <v>105</v>
      </c>
      <c r="V74" s="92">
        <v>0</v>
      </c>
      <c r="W74" s="93" cm="1">
        <f t="array" ref="W74">WORKDAY(X74,-20)</f>
        <v>46140</v>
      </c>
      <c r="X74" s="80" t="s">
        <v>184</v>
      </c>
      <c r="Y74" s="88">
        <v>0</v>
      </c>
      <c r="Z74" s="93">
        <v>46171</v>
      </c>
      <c r="AA74" s="90">
        <v>46227</v>
      </c>
      <c r="AB74" s="88">
        <v>0</v>
      </c>
      <c r="AC74" s="79" t="s">
        <v>49</v>
      </c>
      <c r="AD74" s="79" t="s">
        <v>49</v>
      </c>
      <c r="AE74" s="90"/>
      <c r="AF74" s="88">
        <v>0</v>
      </c>
      <c r="AG74" s="93" cm="1">
        <f t="array" ref="AG74">WORKDAY(AA74,2)</f>
        <v>46231</v>
      </c>
      <c r="AH74" s="90" cm="1">
        <f t="array" ref="AH74">WORKDAY(AG74,1)</f>
        <v>46232</v>
      </c>
      <c r="AI74" s="86" cm="1">
        <f t="array" ref="AI74">WORKDAY(AH74,1)</f>
        <v>46233</v>
      </c>
      <c r="AJ74" s="144"/>
      <c r="AK74" s="56"/>
    </row>
    <row r="75" spans="1:37" ht="25.5" customHeight="1">
      <c r="A75" s="140" cm="1">
        <f t="array" ref="A75">A74+1</f>
        <v>60</v>
      </c>
      <c r="B75" s="79" t="s">
        <v>1201</v>
      </c>
      <c r="C75" s="97">
        <v>1</v>
      </c>
      <c r="D75" s="79" t="s">
        <v>1188</v>
      </c>
      <c r="E75" s="79" t="s">
        <v>1202</v>
      </c>
      <c r="F75" s="79" t="s">
        <v>78</v>
      </c>
      <c r="G75" s="80" t="s">
        <v>1122</v>
      </c>
      <c r="H75" s="81">
        <v>67516</v>
      </c>
      <c r="I75" s="109"/>
      <c r="J75" s="110">
        <v>35</v>
      </c>
      <c r="K75" s="100">
        <v>0</v>
      </c>
      <c r="L75" s="105" cm="1">
        <f t="array" ref="L75">WORKDAY(M75,-10)</f>
        <v>46113</v>
      </c>
      <c r="M75" s="85">
        <v>46127</v>
      </c>
      <c r="N75" s="86" cm="1">
        <f t="array" ref="N75">WORKDAY(M75,5)</f>
        <v>46134</v>
      </c>
      <c r="O75" s="87">
        <v>0</v>
      </c>
      <c r="P75" s="88">
        <v>0</v>
      </c>
      <c r="Q75" s="89">
        <v>46113</v>
      </c>
      <c r="R75" s="96">
        <v>46136</v>
      </c>
      <c r="S75" s="86" cm="1">
        <f t="array" ref="S75">WORKDAY(R75,7)</f>
        <v>46147</v>
      </c>
      <c r="T75" s="87">
        <v>0</v>
      </c>
      <c r="U75" s="91" t="s">
        <v>105</v>
      </c>
      <c r="V75" s="92">
        <v>0</v>
      </c>
      <c r="W75" s="93" cm="1">
        <f t="array" ref="W75">WORKDAY(X75,-20)</f>
        <v>46149</v>
      </c>
      <c r="X75" s="80" t="s">
        <v>1200</v>
      </c>
      <c r="Y75" s="88">
        <v>0</v>
      </c>
      <c r="Z75" s="93">
        <v>46178</v>
      </c>
      <c r="AA75" s="90">
        <v>46227</v>
      </c>
      <c r="AB75" s="88">
        <v>0</v>
      </c>
      <c r="AC75" s="79" t="s">
        <v>49</v>
      </c>
      <c r="AD75" s="79" t="s">
        <v>49</v>
      </c>
      <c r="AE75" s="90"/>
      <c r="AF75" s="88">
        <v>0</v>
      </c>
      <c r="AG75" s="93" cm="1">
        <f t="array" ref="AG75">WORKDAY(AA75,2)</f>
        <v>46231</v>
      </c>
      <c r="AH75" s="90" cm="1">
        <f t="array" ref="AH75">WORKDAY(AG75,1)</f>
        <v>46232</v>
      </c>
      <c r="AI75" s="86" cm="1">
        <f t="array" ref="AI75">WORKDAY(AH75,1)</f>
        <v>46233</v>
      </c>
      <c r="AJ75" s="144"/>
      <c r="AK75" s="56"/>
    </row>
    <row r="76" spans="1:37" ht="25.5" customHeight="1">
      <c r="A76" s="140" cm="1">
        <f t="array" ref="A76">A75+1</f>
        <v>61</v>
      </c>
      <c r="B76" s="79" t="s">
        <v>1203</v>
      </c>
      <c r="C76" s="97">
        <v>1</v>
      </c>
      <c r="D76" s="79" t="s">
        <v>1204</v>
      </c>
      <c r="E76" s="79" t="s">
        <v>1205</v>
      </c>
      <c r="F76" s="79" t="s">
        <v>78</v>
      </c>
      <c r="G76" s="80" t="s">
        <v>1122</v>
      </c>
      <c r="H76" s="81">
        <v>67516</v>
      </c>
      <c r="I76" s="109"/>
      <c r="J76" s="110">
        <v>36</v>
      </c>
      <c r="K76" s="107" t="s">
        <v>1125</v>
      </c>
      <c r="L76" s="84">
        <v>46099</v>
      </c>
      <c r="M76" s="85">
        <v>46115</v>
      </c>
      <c r="N76" s="86">
        <v>46119</v>
      </c>
      <c r="O76" s="87">
        <v>0</v>
      </c>
      <c r="P76" s="88">
        <v>0</v>
      </c>
      <c r="Q76" s="89">
        <v>46113</v>
      </c>
      <c r="R76" s="96">
        <v>46136</v>
      </c>
      <c r="S76" s="86" cm="1">
        <f t="array" ref="S76">WORKDAY(R76,7)</f>
        <v>46147</v>
      </c>
      <c r="T76" s="87">
        <v>0</v>
      </c>
      <c r="U76" s="91" t="s">
        <v>105</v>
      </c>
      <c r="V76" s="92">
        <v>0</v>
      </c>
      <c r="W76" s="93" cm="1">
        <f t="array" ref="W76">WORKDAY(X76,-20)</f>
        <v>46150</v>
      </c>
      <c r="X76" s="80" t="s">
        <v>1206</v>
      </c>
      <c r="Y76" s="88">
        <v>0</v>
      </c>
      <c r="Z76" s="93">
        <v>46181</v>
      </c>
      <c r="AA76" s="90">
        <v>46227</v>
      </c>
      <c r="AB76" s="88">
        <v>0</v>
      </c>
      <c r="AC76" s="79" t="s">
        <v>49</v>
      </c>
      <c r="AD76" s="79" t="s">
        <v>49</v>
      </c>
      <c r="AE76" s="90"/>
      <c r="AF76" s="88">
        <v>0</v>
      </c>
      <c r="AG76" s="93" cm="1">
        <f t="array" ref="AG76">WORKDAY(AA76,2)</f>
        <v>46231</v>
      </c>
      <c r="AH76" s="90" cm="1">
        <f t="array" ref="AH76">WORKDAY(AG76,1)</f>
        <v>46232</v>
      </c>
      <c r="AI76" s="86" cm="1">
        <f t="array" ref="AI76">WORKDAY(AH76,1)</f>
        <v>46233</v>
      </c>
      <c r="AJ76" s="144"/>
      <c r="AK76" s="56"/>
    </row>
    <row r="77" spans="1:37" ht="25.5" customHeight="1">
      <c r="A77" s="140" cm="1">
        <f t="array" ref="A77">A76+1</f>
        <v>62</v>
      </c>
      <c r="B77" s="79" t="s">
        <v>185</v>
      </c>
      <c r="C77" s="97">
        <v>1</v>
      </c>
      <c r="D77" s="79" t="s">
        <v>186</v>
      </c>
      <c r="E77" s="79" t="s">
        <v>187</v>
      </c>
      <c r="F77" s="79"/>
      <c r="G77" s="80" t="s">
        <v>168</v>
      </c>
      <c r="H77" s="81">
        <v>45841</v>
      </c>
      <c r="I77" s="82">
        <v>22</v>
      </c>
      <c r="J77" s="98"/>
      <c r="K77" s="100">
        <v>0.4</v>
      </c>
      <c r="L77" s="84">
        <v>46099</v>
      </c>
      <c r="M77" s="85">
        <v>46122</v>
      </c>
      <c r="N77" s="86" cm="1">
        <f t="array" ref="N77">WORKDAY(M77,5)</f>
        <v>46129</v>
      </c>
      <c r="O77" s="87">
        <v>0</v>
      </c>
      <c r="P77" s="88">
        <v>0</v>
      </c>
      <c r="Q77" s="89">
        <v>46113</v>
      </c>
      <c r="R77" s="96">
        <v>46136</v>
      </c>
      <c r="S77" s="86" cm="1">
        <f t="array" ref="S77">WORKDAY(R77,10)</f>
        <v>46150</v>
      </c>
      <c r="T77" s="87">
        <v>0</v>
      </c>
      <c r="U77" s="91" t="s">
        <v>105</v>
      </c>
      <c r="V77" s="92">
        <v>0</v>
      </c>
      <c r="W77" s="93" cm="1">
        <f t="array" ref="W77">WORKDAY(X77,-20)</f>
        <v>46140</v>
      </c>
      <c r="X77" s="80" t="s">
        <v>184</v>
      </c>
      <c r="Y77" s="88">
        <v>0</v>
      </c>
      <c r="Z77" s="93">
        <v>46171</v>
      </c>
      <c r="AA77" s="90">
        <v>46230</v>
      </c>
      <c r="AB77" s="88">
        <v>0</v>
      </c>
      <c r="AC77" s="79" t="s">
        <v>49</v>
      </c>
      <c r="AD77" s="79" t="s">
        <v>49</v>
      </c>
      <c r="AE77" s="90"/>
      <c r="AF77" s="88">
        <v>0</v>
      </c>
      <c r="AG77" s="93" cm="1">
        <f t="array" ref="AG77">WORKDAY(AA77,2)</f>
        <v>46232</v>
      </c>
      <c r="AH77" s="90" cm="1">
        <f t="array" ref="AH77">WORKDAY(AG77,1)</f>
        <v>46233</v>
      </c>
      <c r="AI77" s="86" cm="1">
        <f t="array" ref="AI77">WORKDAY(AH77,1)</f>
        <v>46234</v>
      </c>
      <c r="AJ77" s="144"/>
      <c r="AK77" s="56"/>
    </row>
    <row r="78" spans="1:37" ht="25.5" customHeight="1">
      <c r="A78" s="140" cm="1">
        <f t="array" ref="A78">A77+1</f>
        <v>63</v>
      </c>
      <c r="B78" s="79" t="s">
        <v>188</v>
      </c>
      <c r="C78" s="97">
        <v>1</v>
      </c>
      <c r="D78" s="79" t="s">
        <v>186</v>
      </c>
      <c r="E78" s="79" t="s">
        <v>189</v>
      </c>
      <c r="F78" s="79"/>
      <c r="G78" s="80" t="s">
        <v>168</v>
      </c>
      <c r="H78" s="81">
        <v>45841</v>
      </c>
      <c r="I78" s="82">
        <v>23</v>
      </c>
      <c r="J78" s="98"/>
      <c r="K78" s="100">
        <v>0.4</v>
      </c>
      <c r="L78" s="84">
        <v>46099</v>
      </c>
      <c r="M78" s="85">
        <v>46122</v>
      </c>
      <c r="N78" s="86" cm="1">
        <f t="array" ref="N78">WORKDAY(M78,5)</f>
        <v>46129</v>
      </c>
      <c r="O78" s="87">
        <v>0</v>
      </c>
      <c r="P78" s="88">
        <v>0</v>
      </c>
      <c r="Q78" s="89">
        <v>46113</v>
      </c>
      <c r="R78" s="96">
        <v>46136</v>
      </c>
      <c r="S78" s="86" cm="1">
        <f t="array" ref="S78">WORKDAY(R78,10)</f>
        <v>46150</v>
      </c>
      <c r="T78" s="87">
        <v>0</v>
      </c>
      <c r="U78" s="91" t="s">
        <v>105</v>
      </c>
      <c r="V78" s="92">
        <v>0</v>
      </c>
      <c r="W78" s="93" cm="1">
        <f t="array" ref="W78">WORKDAY(X78,-20)</f>
        <v>46141</v>
      </c>
      <c r="X78" s="80" t="s">
        <v>190</v>
      </c>
      <c r="Y78" s="88">
        <v>0</v>
      </c>
      <c r="Z78" s="93">
        <v>46174</v>
      </c>
      <c r="AA78" s="90">
        <v>46230</v>
      </c>
      <c r="AB78" s="88">
        <v>0</v>
      </c>
      <c r="AC78" s="79" t="s">
        <v>49</v>
      </c>
      <c r="AD78" s="79" t="s">
        <v>49</v>
      </c>
      <c r="AE78" s="90"/>
      <c r="AF78" s="88">
        <v>0</v>
      </c>
      <c r="AG78" s="93" cm="1">
        <f t="array" ref="AG78">WORKDAY(AA78,2)</f>
        <v>46232</v>
      </c>
      <c r="AH78" s="90" cm="1">
        <f t="array" ref="AH78">WORKDAY(AG78,1)</f>
        <v>46233</v>
      </c>
      <c r="AI78" s="86" cm="1">
        <f t="array" ref="AI78">WORKDAY(AH78,1)</f>
        <v>46234</v>
      </c>
      <c r="AJ78" s="144"/>
      <c r="AK78" s="56"/>
    </row>
    <row r="79" spans="1:37" ht="25.5" customHeight="1">
      <c r="A79" s="140" cm="1">
        <f t="array" ref="A79">A78+1</f>
        <v>64</v>
      </c>
      <c r="B79" s="79" t="s">
        <v>1207</v>
      </c>
      <c r="C79" s="97">
        <v>1</v>
      </c>
      <c r="D79" s="79" t="s">
        <v>1208</v>
      </c>
      <c r="E79" s="79" t="s">
        <v>1209</v>
      </c>
      <c r="F79" s="79" t="s">
        <v>78</v>
      </c>
      <c r="G79" s="80" t="s">
        <v>1122</v>
      </c>
      <c r="H79" s="81">
        <v>67516</v>
      </c>
      <c r="I79" s="109"/>
      <c r="J79" s="110">
        <v>37</v>
      </c>
      <c r="K79" s="99" t="s">
        <v>126</v>
      </c>
      <c r="L79" s="84">
        <v>46099</v>
      </c>
      <c r="M79" s="85">
        <v>46111</v>
      </c>
      <c r="N79" s="86">
        <v>46114</v>
      </c>
      <c r="O79" s="87">
        <v>0</v>
      </c>
      <c r="P79" s="88">
        <v>0</v>
      </c>
      <c r="Q79" s="89">
        <v>46113</v>
      </c>
      <c r="R79" s="96">
        <v>46136</v>
      </c>
      <c r="S79" s="86" cm="1">
        <f t="array" ref="S79">WORKDAY(R79,7)</f>
        <v>46147</v>
      </c>
      <c r="T79" s="87">
        <v>0</v>
      </c>
      <c r="U79" s="91" t="s">
        <v>105</v>
      </c>
      <c r="V79" s="92">
        <v>0</v>
      </c>
      <c r="W79" s="93" cm="1">
        <f t="array" ref="W79">WORKDAY(X79,-20)</f>
        <v>46150</v>
      </c>
      <c r="X79" s="80" t="s">
        <v>1206</v>
      </c>
      <c r="Y79" s="88">
        <v>0</v>
      </c>
      <c r="Z79" s="93">
        <v>46181</v>
      </c>
      <c r="AA79" s="90">
        <v>46230</v>
      </c>
      <c r="AB79" s="88">
        <v>0</v>
      </c>
      <c r="AC79" s="79" t="s">
        <v>49</v>
      </c>
      <c r="AD79" s="79" t="s">
        <v>49</v>
      </c>
      <c r="AE79" s="90"/>
      <c r="AF79" s="88">
        <v>0</v>
      </c>
      <c r="AG79" s="93" cm="1">
        <f t="array" ref="AG79">WORKDAY(AA79,2)</f>
        <v>46232</v>
      </c>
      <c r="AH79" s="90" cm="1">
        <f t="array" ref="AH79">WORKDAY(AG79,1)</f>
        <v>46233</v>
      </c>
      <c r="AI79" s="86" cm="1">
        <f t="array" ref="AI79">WORKDAY(AH79,1)</f>
        <v>46234</v>
      </c>
      <c r="AJ79" s="144"/>
      <c r="AK79" s="56"/>
    </row>
    <row r="80" spans="1:37" ht="25.5" customHeight="1">
      <c r="A80" s="140" cm="1">
        <f t="array" ref="A80">A79+1</f>
        <v>65</v>
      </c>
      <c r="B80" s="79" t="s">
        <v>1210</v>
      </c>
      <c r="C80" s="97">
        <v>1</v>
      </c>
      <c r="D80" s="79" t="s">
        <v>1208</v>
      </c>
      <c r="E80" s="79" t="s">
        <v>1211</v>
      </c>
      <c r="F80" s="79" t="s">
        <v>78</v>
      </c>
      <c r="G80" s="80" t="s">
        <v>1122</v>
      </c>
      <c r="H80" s="81">
        <v>67516</v>
      </c>
      <c r="I80" s="109"/>
      <c r="J80" s="110">
        <v>38</v>
      </c>
      <c r="K80" s="99" t="s">
        <v>126</v>
      </c>
      <c r="L80" s="84">
        <v>46099</v>
      </c>
      <c r="M80" s="85">
        <v>46111</v>
      </c>
      <c r="N80" s="86">
        <v>46114</v>
      </c>
      <c r="O80" s="87">
        <v>0</v>
      </c>
      <c r="P80" s="88">
        <v>0</v>
      </c>
      <c r="Q80" s="89">
        <v>46113</v>
      </c>
      <c r="R80" s="96">
        <v>46136</v>
      </c>
      <c r="S80" s="86" cm="1">
        <f t="array" ref="S80">WORKDAY(R80,7)</f>
        <v>46147</v>
      </c>
      <c r="T80" s="87">
        <v>0</v>
      </c>
      <c r="U80" s="91" t="s">
        <v>105</v>
      </c>
      <c r="V80" s="92">
        <v>0</v>
      </c>
      <c r="W80" s="93" cm="1">
        <f t="array" ref="W80">WORKDAY(X80,-20)</f>
        <v>46153</v>
      </c>
      <c r="X80" s="90">
        <v>46181</v>
      </c>
      <c r="Y80" s="88">
        <v>0</v>
      </c>
      <c r="Z80" s="93">
        <v>46182</v>
      </c>
      <c r="AA80" s="90">
        <v>46230</v>
      </c>
      <c r="AB80" s="88">
        <v>0</v>
      </c>
      <c r="AC80" s="79" t="s">
        <v>49</v>
      </c>
      <c r="AD80" s="79" t="s">
        <v>49</v>
      </c>
      <c r="AE80" s="90"/>
      <c r="AF80" s="88">
        <v>0</v>
      </c>
      <c r="AG80" s="93" cm="1">
        <f t="array" ref="AG80">WORKDAY(AA80,2)</f>
        <v>46232</v>
      </c>
      <c r="AH80" s="90" cm="1">
        <f t="array" ref="AH80">WORKDAY(AG80,1)</f>
        <v>46233</v>
      </c>
      <c r="AI80" s="86" cm="1">
        <f t="array" ref="AI80">WORKDAY(AH80,1)</f>
        <v>46234</v>
      </c>
      <c r="AJ80" s="144"/>
      <c r="AK80" s="56"/>
    </row>
    <row r="81" spans="1:37" ht="25.5" customHeight="1">
      <c r="A81" s="140" cm="1">
        <f t="array" ref="A81">A80+1</f>
        <v>66</v>
      </c>
      <c r="B81" s="79" t="s">
        <v>191</v>
      </c>
      <c r="C81" s="97">
        <v>1</v>
      </c>
      <c r="D81" s="79" t="s">
        <v>186</v>
      </c>
      <c r="E81" s="79" t="s">
        <v>192</v>
      </c>
      <c r="F81" s="79"/>
      <c r="G81" s="80" t="s">
        <v>168</v>
      </c>
      <c r="H81" s="81">
        <v>45841</v>
      </c>
      <c r="I81" s="82">
        <v>24</v>
      </c>
      <c r="J81" s="98"/>
      <c r="K81" s="100">
        <v>0.4</v>
      </c>
      <c r="L81" s="84">
        <v>46099</v>
      </c>
      <c r="M81" s="85">
        <v>46122</v>
      </c>
      <c r="N81" s="86" cm="1">
        <f t="array" ref="N81">WORKDAY(M81,5)</f>
        <v>46129</v>
      </c>
      <c r="O81" s="87">
        <v>0</v>
      </c>
      <c r="P81" s="88">
        <v>0</v>
      </c>
      <c r="Q81" s="89">
        <v>46113</v>
      </c>
      <c r="R81" s="96">
        <v>46136</v>
      </c>
      <c r="S81" s="86" cm="1">
        <f t="array" ref="S81">WORKDAY(R81,10)</f>
        <v>46150</v>
      </c>
      <c r="T81" s="87">
        <v>0</v>
      </c>
      <c r="U81" s="91" t="s">
        <v>105</v>
      </c>
      <c r="V81" s="92">
        <v>0</v>
      </c>
      <c r="W81" s="93" cm="1">
        <f t="array" ref="W81">WORKDAY(X81,-20)</f>
        <v>46141</v>
      </c>
      <c r="X81" s="80" t="s">
        <v>190</v>
      </c>
      <c r="Y81" s="88">
        <v>0</v>
      </c>
      <c r="Z81" s="93">
        <v>46174</v>
      </c>
      <c r="AA81" s="90">
        <v>46231</v>
      </c>
      <c r="AB81" s="88">
        <v>0</v>
      </c>
      <c r="AC81" s="79" t="s">
        <v>49</v>
      </c>
      <c r="AD81" s="79" t="s">
        <v>49</v>
      </c>
      <c r="AE81" s="90"/>
      <c r="AF81" s="88">
        <v>0</v>
      </c>
      <c r="AG81" s="93" cm="1">
        <f t="array" ref="AG81">WORKDAY(AA81,2)</f>
        <v>46233</v>
      </c>
      <c r="AH81" s="90" cm="1">
        <f t="array" ref="AH81">WORKDAY(AG81,1)</f>
        <v>46234</v>
      </c>
      <c r="AI81" s="86" cm="1">
        <f t="array" ref="AI81">WORKDAY(AH81,1)</f>
        <v>46237</v>
      </c>
      <c r="AJ81" s="144"/>
      <c r="AK81" s="56"/>
    </row>
    <row r="82" spans="1:37" ht="25.5" customHeight="1">
      <c r="A82" s="140" cm="1">
        <f t="array" ref="A82">A81+1</f>
        <v>67</v>
      </c>
      <c r="B82" s="79" t="s">
        <v>193</v>
      </c>
      <c r="C82" s="97">
        <v>1</v>
      </c>
      <c r="D82" s="79" t="s">
        <v>186</v>
      </c>
      <c r="E82" s="79" t="s">
        <v>194</v>
      </c>
      <c r="F82" s="79"/>
      <c r="G82" s="80" t="s">
        <v>168</v>
      </c>
      <c r="H82" s="81">
        <v>45841</v>
      </c>
      <c r="I82" s="82">
        <v>25</v>
      </c>
      <c r="J82" s="98"/>
      <c r="K82" s="100">
        <v>0.4</v>
      </c>
      <c r="L82" s="84">
        <v>46099</v>
      </c>
      <c r="M82" s="85">
        <v>46122</v>
      </c>
      <c r="N82" s="86" cm="1">
        <f t="array" ref="N82">WORKDAY(M82,5)</f>
        <v>46129</v>
      </c>
      <c r="O82" s="87">
        <v>0</v>
      </c>
      <c r="P82" s="88">
        <v>0</v>
      </c>
      <c r="Q82" s="89">
        <v>46113</v>
      </c>
      <c r="R82" s="96">
        <v>46136</v>
      </c>
      <c r="S82" s="86" cm="1">
        <f t="array" ref="S82">WORKDAY(R82,10)</f>
        <v>46150</v>
      </c>
      <c r="T82" s="87">
        <v>0</v>
      </c>
      <c r="U82" s="91" t="s">
        <v>105</v>
      </c>
      <c r="V82" s="92">
        <v>0</v>
      </c>
      <c r="W82" s="93" cm="1">
        <f t="array" ref="W82">WORKDAY(X82,-20)</f>
        <v>46142</v>
      </c>
      <c r="X82" s="80" t="s">
        <v>195</v>
      </c>
      <c r="Y82" s="88">
        <v>0</v>
      </c>
      <c r="Z82" s="93">
        <v>46175</v>
      </c>
      <c r="AA82" s="90">
        <v>46231</v>
      </c>
      <c r="AB82" s="88">
        <v>0</v>
      </c>
      <c r="AC82" s="79" t="s">
        <v>49</v>
      </c>
      <c r="AD82" s="79" t="s">
        <v>49</v>
      </c>
      <c r="AE82" s="90"/>
      <c r="AF82" s="88">
        <v>0</v>
      </c>
      <c r="AG82" s="93" cm="1">
        <f t="array" ref="AG82">WORKDAY(AA82,2)</f>
        <v>46233</v>
      </c>
      <c r="AH82" s="90" cm="1">
        <f t="array" ref="AH82">WORKDAY(AG82,1)</f>
        <v>46234</v>
      </c>
      <c r="AI82" s="86" cm="1">
        <f t="array" ref="AI82">WORKDAY(AH82,1)</f>
        <v>46237</v>
      </c>
      <c r="AJ82" s="144"/>
      <c r="AK82" s="56"/>
    </row>
    <row r="83" spans="1:37" ht="25.5" customHeight="1">
      <c r="A83" s="140" cm="1">
        <f t="array" ref="A83">A82+1</f>
        <v>68</v>
      </c>
      <c r="B83" s="79" t="s">
        <v>1212</v>
      </c>
      <c r="C83" s="97">
        <v>1</v>
      </c>
      <c r="D83" s="79" t="s">
        <v>1208</v>
      </c>
      <c r="E83" s="79" t="s">
        <v>1213</v>
      </c>
      <c r="F83" s="79" t="s">
        <v>78</v>
      </c>
      <c r="G83" s="80" t="s">
        <v>1122</v>
      </c>
      <c r="H83" s="81">
        <v>67516</v>
      </c>
      <c r="I83" s="109"/>
      <c r="J83" s="110">
        <v>39</v>
      </c>
      <c r="K83" s="99" t="s">
        <v>126</v>
      </c>
      <c r="L83" s="84">
        <v>46099</v>
      </c>
      <c r="M83" s="85">
        <v>46111</v>
      </c>
      <c r="N83" s="86">
        <v>46114</v>
      </c>
      <c r="O83" s="87">
        <v>0</v>
      </c>
      <c r="P83" s="88">
        <v>0</v>
      </c>
      <c r="Q83" s="89">
        <v>46113</v>
      </c>
      <c r="R83" s="96">
        <v>46136</v>
      </c>
      <c r="S83" s="86" cm="1">
        <f t="array" ref="S83">WORKDAY(R83,7)</f>
        <v>46147</v>
      </c>
      <c r="T83" s="87">
        <v>0</v>
      </c>
      <c r="U83" s="91" t="s">
        <v>105</v>
      </c>
      <c r="V83" s="92">
        <v>0</v>
      </c>
      <c r="W83" s="93" cm="1">
        <f t="array" ref="W83">WORKDAY(X83,-20)</f>
        <v>46153</v>
      </c>
      <c r="X83" s="90">
        <v>46181</v>
      </c>
      <c r="Y83" s="88">
        <v>0</v>
      </c>
      <c r="Z83" s="93">
        <v>46182</v>
      </c>
      <c r="AA83" s="90">
        <v>46231</v>
      </c>
      <c r="AB83" s="88">
        <v>0</v>
      </c>
      <c r="AC83" s="79" t="s">
        <v>49</v>
      </c>
      <c r="AD83" s="79" t="s">
        <v>49</v>
      </c>
      <c r="AE83" s="90"/>
      <c r="AF83" s="88">
        <v>0</v>
      </c>
      <c r="AG83" s="93" cm="1">
        <f t="array" ref="AG83">WORKDAY(AA83,2)</f>
        <v>46233</v>
      </c>
      <c r="AH83" s="90" cm="1">
        <f t="array" ref="AH83">WORKDAY(AG83,1)</f>
        <v>46234</v>
      </c>
      <c r="AI83" s="86" cm="1">
        <f t="array" ref="AI83">WORKDAY(AH83,1)</f>
        <v>46237</v>
      </c>
      <c r="AJ83" s="144"/>
      <c r="AK83" s="56"/>
    </row>
    <row r="84" spans="1:37" ht="25.5" customHeight="1">
      <c r="A84" s="140" cm="1">
        <f t="array" ref="A84">A83+1</f>
        <v>69</v>
      </c>
      <c r="B84" s="79" t="s">
        <v>1214</v>
      </c>
      <c r="C84" s="97">
        <v>1</v>
      </c>
      <c r="D84" s="79" t="s">
        <v>1208</v>
      </c>
      <c r="E84" s="79" t="s">
        <v>1215</v>
      </c>
      <c r="F84" s="79" t="s">
        <v>78</v>
      </c>
      <c r="G84" s="80" t="s">
        <v>1122</v>
      </c>
      <c r="H84" s="81">
        <v>67516</v>
      </c>
      <c r="I84" s="109"/>
      <c r="J84" s="110">
        <v>40</v>
      </c>
      <c r="K84" s="99" t="s">
        <v>126</v>
      </c>
      <c r="L84" s="84">
        <v>46099</v>
      </c>
      <c r="M84" s="85">
        <v>46111</v>
      </c>
      <c r="N84" s="86">
        <v>46114</v>
      </c>
      <c r="O84" s="87">
        <v>0</v>
      </c>
      <c r="P84" s="88">
        <v>0</v>
      </c>
      <c r="Q84" s="89">
        <v>46113</v>
      </c>
      <c r="R84" s="96">
        <v>46136</v>
      </c>
      <c r="S84" s="86" cm="1">
        <f t="array" ref="S84">WORKDAY(R84,7)</f>
        <v>46147</v>
      </c>
      <c r="T84" s="87">
        <v>0</v>
      </c>
      <c r="U84" s="91" t="s">
        <v>105</v>
      </c>
      <c r="V84" s="92">
        <v>0</v>
      </c>
      <c r="W84" s="93" cm="1">
        <f t="array" ref="W84">WORKDAY(X84,-20)</f>
        <v>46154</v>
      </c>
      <c r="X84" s="90">
        <v>46182</v>
      </c>
      <c r="Y84" s="88">
        <v>0</v>
      </c>
      <c r="Z84" s="93">
        <v>46183</v>
      </c>
      <c r="AA84" s="90">
        <v>46231</v>
      </c>
      <c r="AB84" s="88">
        <v>0</v>
      </c>
      <c r="AC84" s="79" t="s">
        <v>49</v>
      </c>
      <c r="AD84" s="79" t="s">
        <v>49</v>
      </c>
      <c r="AE84" s="90"/>
      <c r="AF84" s="88">
        <v>0</v>
      </c>
      <c r="AG84" s="93" cm="1">
        <f t="array" ref="AG84">WORKDAY(AA84,2)</f>
        <v>46233</v>
      </c>
      <c r="AH84" s="90" cm="1">
        <f t="array" ref="AH84">WORKDAY(AG84,1)</f>
        <v>46234</v>
      </c>
      <c r="AI84" s="86" cm="1">
        <f t="array" ref="AI84">WORKDAY(AH84,1)</f>
        <v>46237</v>
      </c>
      <c r="AJ84" s="144"/>
      <c r="AK84" s="56"/>
    </row>
    <row r="85" spans="1:37" ht="25.5" customHeight="1">
      <c r="A85" s="140" cm="1">
        <f t="array" ref="A85">A84+1</f>
        <v>70</v>
      </c>
      <c r="B85" s="79" t="s">
        <v>196</v>
      </c>
      <c r="C85" s="97">
        <v>1</v>
      </c>
      <c r="D85" s="79" t="s">
        <v>186</v>
      </c>
      <c r="E85" s="79" t="s">
        <v>197</v>
      </c>
      <c r="F85" s="79"/>
      <c r="G85" s="80" t="s">
        <v>168</v>
      </c>
      <c r="H85" s="81">
        <v>45841</v>
      </c>
      <c r="I85" s="82">
        <v>26</v>
      </c>
      <c r="J85" s="98"/>
      <c r="K85" s="100">
        <v>0.4</v>
      </c>
      <c r="L85" s="84">
        <v>46099</v>
      </c>
      <c r="M85" s="85">
        <v>46122</v>
      </c>
      <c r="N85" s="86" cm="1">
        <f t="array" ref="N85">WORKDAY(M85,5)</f>
        <v>46129</v>
      </c>
      <c r="O85" s="87">
        <v>0</v>
      </c>
      <c r="P85" s="88">
        <v>0</v>
      </c>
      <c r="Q85" s="89">
        <v>46113</v>
      </c>
      <c r="R85" s="96">
        <v>46136</v>
      </c>
      <c r="S85" s="86" cm="1">
        <f t="array" ref="S85">WORKDAY(R85,10)</f>
        <v>46150</v>
      </c>
      <c r="T85" s="87">
        <v>0</v>
      </c>
      <c r="U85" s="91" t="s">
        <v>105</v>
      </c>
      <c r="V85" s="92">
        <v>0</v>
      </c>
      <c r="W85" s="93" cm="1">
        <f t="array" ref="W85">WORKDAY(X85,-20)</f>
        <v>46142</v>
      </c>
      <c r="X85" s="80" t="s">
        <v>195</v>
      </c>
      <c r="Y85" s="88">
        <v>0</v>
      </c>
      <c r="Z85" s="93">
        <v>46175</v>
      </c>
      <c r="AA85" s="90">
        <v>46232</v>
      </c>
      <c r="AB85" s="88">
        <v>0</v>
      </c>
      <c r="AC85" s="79" t="s">
        <v>49</v>
      </c>
      <c r="AD85" s="79" t="s">
        <v>49</v>
      </c>
      <c r="AE85" s="90"/>
      <c r="AF85" s="88">
        <v>0</v>
      </c>
      <c r="AG85" s="93" cm="1">
        <f t="array" ref="AG85">WORKDAY(AA85,2)</f>
        <v>46234</v>
      </c>
      <c r="AH85" s="90" cm="1">
        <f t="array" ref="AH85">WORKDAY(AG85,1)</f>
        <v>46237</v>
      </c>
      <c r="AI85" s="86" cm="1">
        <f t="array" ref="AI85">WORKDAY(AH85,1)</f>
        <v>46238</v>
      </c>
      <c r="AJ85" s="144"/>
      <c r="AK85" s="56"/>
    </row>
    <row r="86" spans="1:37" ht="25.5" customHeight="1">
      <c r="A86" s="140" cm="1">
        <f t="array" ref="A86">A85+1</f>
        <v>71</v>
      </c>
      <c r="B86" s="79" t="s">
        <v>198</v>
      </c>
      <c r="C86" s="97">
        <v>1</v>
      </c>
      <c r="D86" s="79" t="s">
        <v>186</v>
      </c>
      <c r="E86" s="79" t="s">
        <v>199</v>
      </c>
      <c r="F86" s="79"/>
      <c r="G86" s="80" t="s">
        <v>168</v>
      </c>
      <c r="H86" s="81">
        <v>45841</v>
      </c>
      <c r="I86" s="82">
        <v>27</v>
      </c>
      <c r="J86" s="98"/>
      <c r="K86" s="100">
        <v>0.4</v>
      </c>
      <c r="L86" s="84">
        <v>46099</v>
      </c>
      <c r="M86" s="85">
        <v>46122</v>
      </c>
      <c r="N86" s="86" cm="1">
        <f t="array" ref="N86">WORKDAY(M86,5)</f>
        <v>46129</v>
      </c>
      <c r="O86" s="87">
        <v>0</v>
      </c>
      <c r="P86" s="88">
        <v>0</v>
      </c>
      <c r="Q86" s="89">
        <v>46113</v>
      </c>
      <c r="R86" s="96">
        <v>46136</v>
      </c>
      <c r="S86" s="86" cm="1">
        <f t="array" ref="S86">WORKDAY(R86,10)</f>
        <v>46150</v>
      </c>
      <c r="T86" s="87">
        <v>0</v>
      </c>
      <c r="U86" s="91" t="s">
        <v>105</v>
      </c>
      <c r="V86" s="92">
        <v>0</v>
      </c>
      <c r="W86" s="93" cm="1">
        <f t="array" ref="W86">WORKDAY(X86,-20)</f>
        <v>46143</v>
      </c>
      <c r="X86" s="80" t="s">
        <v>200</v>
      </c>
      <c r="Y86" s="88">
        <v>0</v>
      </c>
      <c r="Z86" s="93">
        <v>46176</v>
      </c>
      <c r="AA86" s="90">
        <v>46232</v>
      </c>
      <c r="AB86" s="88">
        <v>0</v>
      </c>
      <c r="AC86" s="79" t="s">
        <v>49</v>
      </c>
      <c r="AD86" s="79" t="s">
        <v>49</v>
      </c>
      <c r="AE86" s="90"/>
      <c r="AF86" s="88">
        <v>0</v>
      </c>
      <c r="AG86" s="93" cm="1">
        <f t="array" ref="AG86">WORKDAY(AA86,2)</f>
        <v>46234</v>
      </c>
      <c r="AH86" s="90" cm="1">
        <f t="array" ref="AH86">WORKDAY(AG86,1)</f>
        <v>46237</v>
      </c>
      <c r="AI86" s="86" cm="1">
        <f t="array" ref="AI86">WORKDAY(AH86,1)</f>
        <v>46238</v>
      </c>
      <c r="AJ86" s="144"/>
      <c r="AK86" s="56"/>
    </row>
    <row r="87" spans="1:37" ht="25.5" customHeight="1">
      <c r="A87" s="140" cm="1">
        <f t="array" ref="A87">A86+1</f>
        <v>72</v>
      </c>
      <c r="B87" s="79" t="s">
        <v>1216</v>
      </c>
      <c r="C87" s="97">
        <v>1</v>
      </c>
      <c r="D87" s="79" t="s">
        <v>1208</v>
      </c>
      <c r="E87" s="79" t="s">
        <v>1217</v>
      </c>
      <c r="F87" s="79" t="s">
        <v>78</v>
      </c>
      <c r="G87" s="80" t="s">
        <v>1122</v>
      </c>
      <c r="H87" s="81">
        <v>67516</v>
      </c>
      <c r="I87" s="109"/>
      <c r="J87" s="110">
        <v>41</v>
      </c>
      <c r="K87" s="99" t="s">
        <v>126</v>
      </c>
      <c r="L87" s="84">
        <v>46099</v>
      </c>
      <c r="M87" s="85">
        <v>46111</v>
      </c>
      <c r="N87" s="86">
        <v>46114</v>
      </c>
      <c r="O87" s="87">
        <v>0</v>
      </c>
      <c r="P87" s="88">
        <v>0</v>
      </c>
      <c r="Q87" s="89">
        <v>46113</v>
      </c>
      <c r="R87" s="96">
        <v>46136</v>
      </c>
      <c r="S87" s="86" cm="1">
        <f t="array" ref="S87">WORKDAY(R87,7)</f>
        <v>46147</v>
      </c>
      <c r="T87" s="87">
        <v>0</v>
      </c>
      <c r="U87" s="91" t="s">
        <v>105</v>
      </c>
      <c r="V87" s="92">
        <v>0</v>
      </c>
      <c r="W87" s="93" cm="1">
        <f t="array" ref="W87">WORKDAY(X87,-20)</f>
        <v>46154</v>
      </c>
      <c r="X87" s="90">
        <v>46182</v>
      </c>
      <c r="Y87" s="88">
        <v>0</v>
      </c>
      <c r="Z87" s="93">
        <v>46183</v>
      </c>
      <c r="AA87" s="90">
        <v>46232</v>
      </c>
      <c r="AB87" s="88">
        <v>0</v>
      </c>
      <c r="AC87" s="79" t="s">
        <v>49</v>
      </c>
      <c r="AD87" s="79" t="s">
        <v>49</v>
      </c>
      <c r="AE87" s="90"/>
      <c r="AF87" s="88">
        <v>0</v>
      </c>
      <c r="AG87" s="93" cm="1">
        <f t="array" ref="AG87">WORKDAY(AA87,2)</f>
        <v>46234</v>
      </c>
      <c r="AH87" s="90" cm="1">
        <f t="array" ref="AH87">WORKDAY(AG87,1)</f>
        <v>46237</v>
      </c>
      <c r="AI87" s="86" cm="1">
        <f t="array" ref="AI87">WORKDAY(AH87,1)</f>
        <v>46238</v>
      </c>
      <c r="AJ87" s="144"/>
      <c r="AK87" s="56"/>
    </row>
    <row r="88" spans="1:37" ht="25.5" customHeight="1">
      <c r="A88" s="140" cm="1">
        <f t="array" ref="A88">A87+1</f>
        <v>73</v>
      </c>
      <c r="B88" s="79" t="s">
        <v>1218</v>
      </c>
      <c r="C88" s="97">
        <v>1</v>
      </c>
      <c r="D88" s="79" t="s">
        <v>1208</v>
      </c>
      <c r="E88" s="79" t="s">
        <v>1219</v>
      </c>
      <c r="F88" s="79" t="s">
        <v>78</v>
      </c>
      <c r="G88" s="80" t="s">
        <v>1122</v>
      </c>
      <c r="H88" s="81">
        <v>67516</v>
      </c>
      <c r="I88" s="109"/>
      <c r="J88" s="110">
        <v>42</v>
      </c>
      <c r="K88" s="107" t="s">
        <v>1125</v>
      </c>
      <c r="L88" s="105" cm="1">
        <f t="array" ref="L88">WORKDAY(M88,-10)</f>
        <v>46113</v>
      </c>
      <c r="M88" s="85">
        <v>46127</v>
      </c>
      <c r="N88" s="86" cm="1">
        <f t="array" ref="N88">WORKDAY(M88,5)</f>
        <v>46134</v>
      </c>
      <c r="O88" s="87">
        <v>0</v>
      </c>
      <c r="P88" s="88">
        <v>0</v>
      </c>
      <c r="Q88" s="89">
        <v>46113</v>
      </c>
      <c r="R88" s="96">
        <v>46136</v>
      </c>
      <c r="S88" s="86" cm="1">
        <f t="array" ref="S88">WORKDAY(R88,7)</f>
        <v>46147</v>
      </c>
      <c r="T88" s="87">
        <v>0</v>
      </c>
      <c r="U88" s="91" t="s">
        <v>105</v>
      </c>
      <c r="V88" s="92">
        <v>0</v>
      </c>
      <c r="W88" s="93" cm="1">
        <f t="array" ref="W88">WORKDAY(X88,-20)</f>
        <v>46155</v>
      </c>
      <c r="X88" s="90">
        <v>46183</v>
      </c>
      <c r="Y88" s="88">
        <v>0</v>
      </c>
      <c r="Z88" s="93">
        <v>46184</v>
      </c>
      <c r="AA88" s="90">
        <v>46232</v>
      </c>
      <c r="AB88" s="88">
        <v>0</v>
      </c>
      <c r="AC88" s="79" t="s">
        <v>49</v>
      </c>
      <c r="AD88" s="79" t="s">
        <v>49</v>
      </c>
      <c r="AE88" s="90"/>
      <c r="AF88" s="88">
        <v>0</v>
      </c>
      <c r="AG88" s="93" cm="1">
        <f t="array" ref="AG88">WORKDAY(AA88,2)</f>
        <v>46234</v>
      </c>
      <c r="AH88" s="90" cm="1">
        <f t="array" ref="AH88">WORKDAY(AG88,1)</f>
        <v>46237</v>
      </c>
      <c r="AI88" s="86" cm="1">
        <f t="array" ref="AI88">WORKDAY(AH88,1)</f>
        <v>46238</v>
      </c>
      <c r="AJ88" s="144"/>
      <c r="AK88" s="56"/>
    </row>
    <row r="89" spans="1:37" ht="25.5" customHeight="1">
      <c r="A89" s="140" cm="1">
        <f t="array" ref="A89">A88+1</f>
        <v>74</v>
      </c>
      <c r="B89" s="79" t="s">
        <v>201</v>
      </c>
      <c r="C89" s="97">
        <v>1</v>
      </c>
      <c r="D89" s="79" t="s">
        <v>186</v>
      </c>
      <c r="E89" s="79" t="s">
        <v>202</v>
      </c>
      <c r="F89" s="79"/>
      <c r="G89" s="80" t="s">
        <v>168</v>
      </c>
      <c r="H89" s="81">
        <v>45841</v>
      </c>
      <c r="I89" s="82">
        <v>28</v>
      </c>
      <c r="J89" s="98"/>
      <c r="K89" s="100">
        <v>0.4</v>
      </c>
      <c r="L89" s="84">
        <v>46099</v>
      </c>
      <c r="M89" s="85">
        <v>46122</v>
      </c>
      <c r="N89" s="86" cm="1">
        <f t="array" ref="N89">WORKDAY(M89,5)</f>
        <v>46129</v>
      </c>
      <c r="O89" s="87">
        <v>0</v>
      </c>
      <c r="P89" s="88">
        <v>0</v>
      </c>
      <c r="Q89" s="89">
        <v>46113</v>
      </c>
      <c r="R89" s="96">
        <v>46136</v>
      </c>
      <c r="S89" s="86" cm="1">
        <f t="array" ref="S89">WORKDAY(R89,10)</f>
        <v>46150</v>
      </c>
      <c r="T89" s="87">
        <v>0</v>
      </c>
      <c r="U89" s="91" t="s">
        <v>105</v>
      </c>
      <c r="V89" s="92">
        <v>0</v>
      </c>
      <c r="W89" s="93" cm="1">
        <f t="array" ref="W89">WORKDAY(X89,-20)</f>
        <v>46143</v>
      </c>
      <c r="X89" s="80" t="s">
        <v>200</v>
      </c>
      <c r="Y89" s="88">
        <v>0</v>
      </c>
      <c r="Z89" s="93">
        <v>46176</v>
      </c>
      <c r="AA89" s="90">
        <v>46233</v>
      </c>
      <c r="AB89" s="88">
        <v>0</v>
      </c>
      <c r="AC89" s="79" t="s">
        <v>49</v>
      </c>
      <c r="AD89" s="79" t="s">
        <v>49</v>
      </c>
      <c r="AE89" s="90"/>
      <c r="AF89" s="88">
        <v>0</v>
      </c>
      <c r="AG89" s="93" cm="1">
        <f t="array" ref="AG89">WORKDAY(AA89,2)</f>
        <v>46237</v>
      </c>
      <c r="AH89" s="90" cm="1">
        <f t="array" ref="AH89">WORKDAY(AG89,1)</f>
        <v>46238</v>
      </c>
      <c r="AI89" s="86" cm="1">
        <f t="array" ref="AI89">WORKDAY(AH89,1)</f>
        <v>46239</v>
      </c>
      <c r="AJ89" s="144"/>
      <c r="AK89" s="56"/>
    </row>
    <row r="90" spans="1:37" ht="25.5" customHeight="1">
      <c r="A90" s="140" cm="1">
        <f t="array" ref="A90">A89+1</f>
        <v>75</v>
      </c>
      <c r="B90" s="79" t="s">
        <v>203</v>
      </c>
      <c r="C90" s="97">
        <v>1</v>
      </c>
      <c r="D90" s="79" t="s">
        <v>204</v>
      </c>
      <c r="E90" s="79" t="s">
        <v>205</v>
      </c>
      <c r="F90" s="79"/>
      <c r="G90" s="80" t="s">
        <v>206</v>
      </c>
      <c r="H90" s="81">
        <v>51804</v>
      </c>
      <c r="I90" s="82">
        <v>29</v>
      </c>
      <c r="J90" s="98"/>
      <c r="K90" s="100">
        <v>0.4</v>
      </c>
      <c r="L90" s="84">
        <v>46099</v>
      </c>
      <c r="M90" s="85">
        <v>46122</v>
      </c>
      <c r="N90" s="86" cm="1">
        <f t="array" ref="N90">WORKDAY(M90,5)</f>
        <v>46129</v>
      </c>
      <c r="O90" s="87">
        <v>0</v>
      </c>
      <c r="P90" s="88">
        <v>0</v>
      </c>
      <c r="Q90" s="89">
        <v>46113</v>
      </c>
      <c r="R90" s="96">
        <v>46136</v>
      </c>
      <c r="S90" s="86" cm="1">
        <f t="array" ref="S90">WORKDAY(R90,10)</f>
        <v>46150</v>
      </c>
      <c r="T90" s="87">
        <v>0</v>
      </c>
      <c r="U90" s="91" t="s">
        <v>114</v>
      </c>
      <c r="V90" s="92">
        <v>0</v>
      </c>
      <c r="W90" s="93">
        <v>46131</v>
      </c>
      <c r="X90" s="80" t="s">
        <v>122</v>
      </c>
      <c r="Y90" s="88">
        <v>0</v>
      </c>
      <c r="Z90" s="93">
        <v>46177</v>
      </c>
      <c r="AA90" s="90">
        <v>46233</v>
      </c>
      <c r="AB90" s="88">
        <v>0</v>
      </c>
      <c r="AC90" s="79" t="s">
        <v>49</v>
      </c>
      <c r="AD90" s="79" t="s">
        <v>49</v>
      </c>
      <c r="AE90" s="90"/>
      <c r="AF90" s="88">
        <v>0</v>
      </c>
      <c r="AG90" s="93" cm="1">
        <f t="array" ref="AG90">WORKDAY(AA90,2)</f>
        <v>46237</v>
      </c>
      <c r="AH90" s="90" cm="1">
        <f t="array" ref="AH90">WORKDAY(AG90,1)</f>
        <v>46238</v>
      </c>
      <c r="AI90" s="86" cm="1">
        <f t="array" ref="AI90">WORKDAY(AH90,1)</f>
        <v>46239</v>
      </c>
      <c r="AJ90" s="144"/>
      <c r="AK90" s="56"/>
    </row>
    <row r="91" spans="1:37" ht="25.5" customHeight="1">
      <c r="A91" s="140" cm="1">
        <f t="array" ref="A91">A90+1</f>
        <v>76</v>
      </c>
      <c r="B91" s="79" t="s">
        <v>1220</v>
      </c>
      <c r="C91" s="97">
        <v>1</v>
      </c>
      <c r="D91" s="79" t="s">
        <v>1204</v>
      </c>
      <c r="E91" s="79" t="s">
        <v>1221</v>
      </c>
      <c r="F91" s="79" t="s">
        <v>78</v>
      </c>
      <c r="G91" s="80" t="s">
        <v>1122</v>
      </c>
      <c r="H91" s="81">
        <v>67516</v>
      </c>
      <c r="I91" s="109"/>
      <c r="J91" s="110">
        <v>43</v>
      </c>
      <c r="K91" s="107" t="s">
        <v>1125</v>
      </c>
      <c r="L91" s="84">
        <v>46099</v>
      </c>
      <c r="M91" s="85">
        <v>46115</v>
      </c>
      <c r="N91" s="86">
        <v>46119</v>
      </c>
      <c r="O91" s="87">
        <v>0</v>
      </c>
      <c r="P91" s="88">
        <v>0</v>
      </c>
      <c r="Q91" s="89">
        <v>46113</v>
      </c>
      <c r="R91" s="96">
        <v>46136</v>
      </c>
      <c r="S91" s="86" cm="1">
        <f t="array" ref="S91">WORKDAY(R91,7)</f>
        <v>46147</v>
      </c>
      <c r="T91" s="87">
        <v>0</v>
      </c>
      <c r="U91" s="91" t="s">
        <v>105</v>
      </c>
      <c r="V91" s="92">
        <v>0</v>
      </c>
      <c r="W91" s="93" cm="1">
        <f t="array" ref="W91">WORKDAY(X91,-20)</f>
        <v>46155</v>
      </c>
      <c r="X91" s="90">
        <v>46183</v>
      </c>
      <c r="Y91" s="88">
        <v>0</v>
      </c>
      <c r="Z91" s="93">
        <v>46184</v>
      </c>
      <c r="AA91" s="90">
        <v>46233</v>
      </c>
      <c r="AB91" s="88">
        <v>0</v>
      </c>
      <c r="AC91" s="79" t="s">
        <v>49</v>
      </c>
      <c r="AD91" s="79" t="s">
        <v>49</v>
      </c>
      <c r="AE91" s="90"/>
      <c r="AF91" s="88">
        <v>0</v>
      </c>
      <c r="AG91" s="93" cm="1">
        <f t="array" ref="AG91">WORKDAY(AA91,2)</f>
        <v>46237</v>
      </c>
      <c r="AH91" s="90" cm="1">
        <f t="array" ref="AH91">WORKDAY(AG91,1)</f>
        <v>46238</v>
      </c>
      <c r="AI91" s="86" cm="1">
        <f t="array" ref="AI91">WORKDAY(AH91,1)</f>
        <v>46239</v>
      </c>
      <c r="AJ91" s="144"/>
      <c r="AK91" s="56"/>
    </row>
    <row r="92" spans="1:37" ht="25.5" customHeight="1">
      <c r="A92" s="140" cm="1">
        <f t="array" ref="A92">A91+1</f>
        <v>77</v>
      </c>
      <c r="B92" s="79" t="s">
        <v>1222</v>
      </c>
      <c r="C92" s="97">
        <v>1</v>
      </c>
      <c r="D92" s="79" t="s">
        <v>1208</v>
      </c>
      <c r="E92" s="79" t="s">
        <v>1223</v>
      </c>
      <c r="F92" s="79" t="s">
        <v>78</v>
      </c>
      <c r="G92" s="80" t="s">
        <v>1122</v>
      </c>
      <c r="H92" s="81">
        <v>67516</v>
      </c>
      <c r="I92" s="109"/>
      <c r="J92" s="110">
        <v>44</v>
      </c>
      <c r="K92" s="99" t="s">
        <v>126</v>
      </c>
      <c r="L92" s="84">
        <v>46099</v>
      </c>
      <c r="M92" s="85">
        <v>46111</v>
      </c>
      <c r="N92" s="86">
        <v>46114</v>
      </c>
      <c r="O92" s="87">
        <v>0</v>
      </c>
      <c r="P92" s="88">
        <v>0</v>
      </c>
      <c r="Q92" s="89">
        <v>46113</v>
      </c>
      <c r="R92" s="96">
        <v>46136</v>
      </c>
      <c r="S92" s="86" cm="1">
        <f t="array" ref="S92">WORKDAY(R92,7)</f>
        <v>46147</v>
      </c>
      <c r="T92" s="87">
        <v>0</v>
      </c>
      <c r="U92" s="91" t="s">
        <v>105</v>
      </c>
      <c r="V92" s="92">
        <v>0</v>
      </c>
      <c r="W92" s="93" cm="1">
        <f t="array" ref="W92">WORKDAY(X92,-20)</f>
        <v>46156</v>
      </c>
      <c r="X92" s="90">
        <v>46184</v>
      </c>
      <c r="Y92" s="88">
        <v>0</v>
      </c>
      <c r="Z92" s="93">
        <v>46185</v>
      </c>
      <c r="AA92" s="90">
        <v>46233</v>
      </c>
      <c r="AB92" s="88">
        <v>0</v>
      </c>
      <c r="AC92" s="79" t="s">
        <v>49</v>
      </c>
      <c r="AD92" s="79" t="s">
        <v>49</v>
      </c>
      <c r="AE92" s="90"/>
      <c r="AF92" s="88">
        <v>0</v>
      </c>
      <c r="AG92" s="93" cm="1">
        <f t="array" ref="AG92">WORKDAY(AA92,2)</f>
        <v>46237</v>
      </c>
      <c r="AH92" s="90" cm="1">
        <f t="array" ref="AH92">WORKDAY(AG92,1)</f>
        <v>46238</v>
      </c>
      <c r="AI92" s="86" cm="1">
        <f t="array" ref="AI92">WORKDAY(AH92,1)</f>
        <v>46239</v>
      </c>
      <c r="AJ92" s="144"/>
      <c r="AK92" s="56"/>
    </row>
    <row r="93" spans="1:37" ht="25.5" customHeight="1">
      <c r="A93" s="140" cm="1">
        <f t="array" ref="A93">A92+1</f>
        <v>78</v>
      </c>
      <c r="B93" s="79" t="s">
        <v>207</v>
      </c>
      <c r="C93" s="97">
        <v>1</v>
      </c>
      <c r="D93" s="79" t="s">
        <v>204</v>
      </c>
      <c r="E93" s="79" t="s">
        <v>208</v>
      </c>
      <c r="F93" s="79"/>
      <c r="G93" s="80" t="s">
        <v>206</v>
      </c>
      <c r="H93" s="81">
        <v>51804</v>
      </c>
      <c r="I93" s="82">
        <v>31</v>
      </c>
      <c r="J93" s="98"/>
      <c r="K93" s="100">
        <v>0.4</v>
      </c>
      <c r="L93" s="84">
        <v>46099</v>
      </c>
      <c r="M93" s="85">
        <v>46122</v>
      </c>
      <c r="N93" s="86" cm="1">
        <f t="array" ref="N93">WORKDAY(M93,5)</f>
        <v>46129</v>
      </c>
      <c r="O93" s="87">
        <v>0</v>
      </c>
      <c r="P93" s="88">
        <v>0</v>
      </c>
      <c r="Q93" s="89">
        <v>46113</v>
      </c>
      <c r="R93" s="96">
        <v>46136</v>
      </c>
      <c r="S93" s="86" cm="1">
        <f t="array" ref="S93">WORKDAY(R93,10)</f>
        <v>46150</v>
      </c>
      <c r="T93" s="87">
        <v>0</v>
      </c>
      <c r="U93" s="91" t="s">
        <v>114</v>
      </c>
      <c r="V93" s="92">
        <v>0</v>
      </c>
      <c r="W93" s="93">
        <v>46131</v>
      </c>
      <c r="X93" s="80" t="s">
        <v>136</v>
      </c>
      <c r="Y93" s="88">
        <v>0</v>
      </c>
      <c r="Z93" s="93">
        <v>46178</v>
      </c>
      <c r="AA93" s="90">
        <v>46234</v>
      </c>
      <c r="AB93" s="88">
        <v>0</v>
      </c>
      <c r="AC93" s="79" t="s">
        <v>49</v>
      </c>
      <c r="AD93" s="79" t="s">
        <v>49</v>
      </c>
      <c r="AE93" s="90"/>
      <c r="AF93" s="88">
        <v>0</v>
      </c>
      <c r="AG93" s="93" cm="1">
        <f t="array" ref="AG93">WORKDAY(AA93,2)</f>
        <v>46238</v>
      </c>
      <c r="AH93" s="90" cm="1">
        <f t="array" ref="AH93">WORKDAY(AG93,1)</f>
        <v>46239</v>
      </c>
      <c r="AI93" s="86" cm="1">
        <f t="array" ref="AI93">WORKDAY(AH93,1)</f>
        <v>46240</v>
      </c>
      <c r="AJ93" s="144"/>
      <c r="AK93" s="56"/>
    </row>
    <row r="94" spans="1:37" ht="25.5" customHeight="1">
      <c r="A94" s="140" cm="1">
        <f t="array" ref="A94">A93+1</f>
        <v>79</v>
      </c>
      <c r="B94" s="79" t="s">
        <v>209</v>
      </c>
      <c r="C94" s="97">
        <v>1</v>
      </c>
      <c r="D94" s="79" t="s">
        <v>204</v>
      </c>
      <c r="E94" s="79" t="s">
        <v>210</v>
      </c>
      <c r="F94" s="79"/>
      <c r="G94" s="80" t="s">
        <v>206</v>
      </c>
      <c r="H94" s="81">
        <v>51804</v>
      </c>
      <c r="I94" s="82">
        <v>32</v>
      </c>
      <c r="J94" s="98"/>
      <c r="K94" s="100">
        <v>0.4</v>
      </c>
      <c r="L94" s="84">
        <v>46099</v>
      </c>
      <c r="M94" s="85">
        <v>46122</v>
      </c>
      <c r="N94" s="86" cm="1">
        <f t="array" ref="N94">WORKDAY(M94,5)</f>
        <v>46129</v>
      </c>
      <c r="O94" s="87">
        <v>0</v>
      </c>
      <c r="P94" s="88">
        <v>0</v>
      </c>
      <c r="Q94" s="89">
        <v>46113</v>
      </c>
      <c r="R94" s="96">
        <v>46136</v>
      </c>
      <c r="S94" s="86" cm="1">
        <f t="array" ref="S94">WORKDAY(R94,10)</f>
        <v>46150</v>
      </c>
      <c r="T94" s="87">
        <v>0</v>
      </c>
      <c r="U94" s="91" t="s">
        <v>114</v>
      </c>
      <c r="V94" s="92">
        <v>0</v>
      </c>
      <c r="W94" s="93">
        <v>46131</v>
      </c>
      <c r="X94" s="80" t="s">
        <v>142</v>
      </c>
      <c r="Y94" s="88">
        <v>0</v>
      </c>
      <c r="Z94" s="93">
        <v>46178</v>
      </c>
      <c r="AA94" s="90">
        <v>46234</v>
      </c>
      <c r="AB94" s="88">
        <v>0</v>
      </c>
      <c r="AC94" s="79" t="s">
        <v>49</v>
      </c>
      <c r="AD94" s="79" t="s">
        <v>49</v>
      </c>
      <c r="AE94" s="90"/>
      <c r="AF94" s="88">
        <v>0</v>
      </c>
      <c r="AG94" s="93" cm="1">
        <f t="array" ref="AG94">WORKDAY(AA94,2)</f>
        <v>46238</v>
      </c>
      <c r="AH94" s="90" cm="1">
        <f t="array" ref="AH94">WORKDAY(AG94,1)</f>
        <v>46239</v>
      </c>
      <c r="AI94" s="86" cm="1">
        <f t="array" ref="AI94">WORKDAY(AH94,1)</f>
        <v>46240</v>
      </c>
      <c r="AJ94" s="144"/>
      <c r="AK94" s="56"/>
    </row>
    <row r="95" spans="1:37" ht="25.5" customHeight="1">
      <c r="A95" s="140" cm="1">
        <f t="array" ref="A95">A94+1</f>
        <v>80</v>
      </c>
      <c r="B95" s="79" t="s">
        <v>1224</v>
      </c>
      <c r="C95" s="97">
        <v>1</v>
      </c>
      <c r="D95" s="79" t="s">
        <v>1208</v>
      </c>
      <c r="E95" s="79" t="s">
        <v>1225</v>
      </c>
      <c r="F95" s="79" t="s">
        <v>78</v>
      </c>
      <c r="G95" s="80" t="s">
        <v>1122</v>
      </c>
      <c r="H95" s="81">
        <v>67516</v>
      </c>
      <c r="I95" s="109"/>
      <c r="J95" s="110">
        <v>45</v>
      </c>
      <c r="K95" s="99" t="s">
        <v>126</v>
      </c>
      <c r="L95" s="84">
        <v>46099</v>
      </c>
      <c r="M95" s="85">
        <v>46111</v>
      </c>
      <c r="N95" s="86">
        <v>46114</v>
      </c>
      <c r="O95" s="87">
        <v>0</v>
      </c>
      <c r="P95" s="88">
        <v>0</v>
      </c>
      <c r="Q95" s="89">
        <v>46113</v>
      </c>
      <c r="R95" s="96">
        <v>46136</v>
      </c>
      <c r="S95" s="86" cm="1">
        <f t="array" ref="S95">WORKDAY(R95,7)</f>
        <v>46147</v>
      </c>
      <c r="T95" s="87">
        <v>0</v>
      </c>
      <c r="U95" s="91" t="s">
        <v>105</v>
      </c>
      <c r="V95" s="92">
        <v>0</v>
      </c>
      <c r="W95" s="93" cm="1">
        <f t="array" ref="W95">WORKDAY(X95,-20)</f>
        <v>46156</v>
      </c>
      <c r="X95" s="90">
        <v>46184</v>
      </c>
      <c r="Y95" s="88">
        <v>0</v>
      </c>
      <c r="Z95" s="93">
        <v>46185</v>
      </c>
      <c r="AA95" s="90">
        <v>46234</v>
      </c>
      <c r="AB95" s="88">
        <v>0</v>
      </c>
      <c r="AC95" s="79" t="s">
        <v>49</v>
      </c>
      <c r="AD95" s="79" t="s">
        <v>49</v>
      </c>
      <c r="AE95" s="90"/>
      <c r="AF95" s="88">
        <v>0</v>
      </c>
      <c r="AG95" s="93" cm="1">
        <f t="array" ref="AG95">WORKDAY(AA95,2)</f>
        <v>46238</v>
      </c>
      <c r="AH95" s="90" cm="1">
        <f t="array" ref="AH95">WORKDAY(AG95,1)</f>
        <v>46239</v>
      </c>
      <c r="AI95" s="86" cm="1">
        <f t="array" ref="AI95">WORKDAY(AH95,1)</f>
        <v>46240</v>
      </c>
      <c r="AJ95" s="144"/>
      <c r="AK95" s="56"/>
    </row>
    <row r="96" spans="1:37" ht="25.5" customHeight="1">
      <c r="A96" s="140" cm="1">
        <f t="array" ref="A96">A95+1</f>
        <v>81</v>
      </c>
      <c r="B96" s="79" t="s">
        <v>1226</v>
      </c>
      <c r="C96" s="97">
        <v>1</v>
      </c>
      <c r="D96" s="79" t="s">
        <v>1208</v>
      </c>
      <c r="E96" s="79" t="s">
        <v>1227</v>
      </c>
      <c r="F96" s="79" t="s">
        <v>78</v>
      </c>
      <c r="G96" s="80" t="s">
        <v>1122</v>
      </c>
      <c r="H96" s="81">
        <v>67516</v>
      </c>
      <c r="I96" s="109"/>
      <c r="J96" s="110">
        <v>46</v>
      </c>
      <c r="K96" s="99" t="s">
        <v>126</v>
      </c>
      <c r="L96" s="84">
        <v>46099</v>
      </c>
      <c r="M96" s="85">
        <v>46111</v>
      </c>
      <c r="N96" s="86">
        <v>46114</v>
      </c>
      <c r="O96" s="87">
        <v>0</v>
      </c>
      <c r="P96" s="88">
        <v>0</v>
      </c>
      <c r="Q96" s="89">
        <v>46113</v>
      </c>
      <c r="R96" s="96">
        <v>46136</v>
      </c>
      <c r="S96" s="86" cm="1">
        <f t="array" ref="S96">WORKDAY(R96,7)</f>
        <v>46147</v>
      </c>
      <c r="T96" s="87">
        <v>0</v>
      </c>
      <c r="U96" s="91" t="s">
        <v>105</v>
      </c>
      <c r="V96" s="92">
        <v>0</v>
      </c>
      <c r="W96" s="93" cm="1">
        <f t="array" ref="W96">WORKDAY(X96,-20)</f>
        <v>46157</v>
      </c>
      <c r="X96" s="90">
        <v>46185</v>
      </c>
      <c r="Y96" s="88">
        <v>0</v>
      </c>
      <c r="Z96" s="93">
        <v>46188</v>
      </c>
      <c r="AA96" s="90">
        <v>46234</v>
      </c>
      <c r="AB96" s="88">
        <v>0</v>
      </c>
      <c r="AC96" s="79" t="s">
        <v>49</v>
      </c>
      <c r="AD96" s="79" t="s">
        <v>49</v>
      </c>
      <c r="AE96" s="90"/>
      <c r="AF96" s="88">
        <v>0</v>
      </c>
      <c r="AG96" s="93" cm="1">
        <f t="array" ref="AG96">WORKDAY(AA96,2)</f>
        <v>46238</v>
      </c>
      <c r="AH96" s="90" cm="1">
        <f t="array" ref="AH96">WORKDAY(AG96,1)</f>
        <v>46239</v>
      </c>
      <c r="AI96" s="86" cm="1">
        <f t="array" ref="AI96">WORKDAY(AH96,1)</f>
        <v>46240</v>
      </c>
      <c r="AJ96" s="144"/>
      <c r="AK96" s="56"/>
    </row>
    <row r="97" spans="1:37" ht="25.5" customHeight="1">
      <c r="A97" s="140" cm="1">
        <f t="array" ref="A97">A96+1</f>
        <v>82</v>
      </c>
      <c r="B97" s="79" t="s">
        <v>211</v>
      </c>
      <c r="C97" s="97">
        <v>1</v>
      </c>
      <c r="D97" s="79" t="s">
        <v>204</v>
      </c>
      <c r="E97" s="79" t="s">
        <v>212</v>
      </c>
      <c r="F97" s="79"/>
      <c r="G97" s="80" t="s">
        <v>206</v>
      </c>
      <c r="H97" s="81">
        <v>51804</v>
      </c>
      <c r="I97" s="82">
        <v>33</v>
      </c>
      <c r="J97" s="98"/>
      <c r="K97" s="100">
        <v>0.4</v>
      </c>
      <c r="L97" s="84">
        <v>46099</v>
      </c>
      <c r="M97" s="85">
        <v>46122</v>
      </c>
      <c r="N97" s="86" cm="1">
        <f t="array" ref="N97">WORKDAY(M97,5)</f>
        <v>46129</v>
      </c>
      <c r="O97" s="87">
        <v>0</v>
      </c>
      <c r="P97" s="88">
        <v>0</v>
      </c>
      <c r="Q97" s="89">
        <v>46113</v>
      </c>
      <c r="R97" s="96">
        <v>46136</v>
      </c>
      <c r="S97" s="86" cm="1">
        <f t="array" ref="S97">WORKDAY(R97,10)</f>
        <v>46150</v>
      </c>
      <c r="T97" s="87">
        <v>0</v>
      </c>
      <c r="U97" s="91" t="s">
        <v>114</v>
      </c>
      <c r="V97" s="92">
        <v>0</v>
      </c>
      <c r="W97" s="93">
        <v>46131</v>
      </c>
      <c r="X97" s="80" t="s">
        <v>153</v>
      </c>
      <c r="Y97" s="88">
        <v>0</v>
      </c>
      <c r="Z97" s="93">
        <v>46181</v>
      </c>
      <c r="AA97" s="90">
        <v>46237</v>
      </c>
      <c r="AB97" s="88">
        <v>0</v>
      </c>
      <c r="AC97" s="79" t="s">
        <v>49</v>
      </c>
      <c r="AD97" s="79" t="s">
        <v>49</v>
      </c>
      <c r="AE97" s="90"/>
      <c r="AF97" s="88">
        <v>0</v>
      </c>
      <c r="AG97" s="93" cm="1">
        <f t="array" ref="AG97">WORKDAY(AA97,2)</f>
        <v>46239</v>
      </c>
      <c r="AH97" s="90" cm="1">
        <f t="array" ref="AH97">WORKDAY(AG97,1)</f>
        <v>46240</v>
      </c>
      <c r="AI97" s="86" cm="1">
        <f t="array" ref="AI97">WORKDAY(AH97,1)</f>
        <v>46241</v>
      </c>
      <c r="AJ97" s="144"/>
      <c r="AK97" s="56"/>
    </row>
    <row r="98" spans="1:37" ht="25.5" customHeight="1">
      <c r="A98" s="140" cm="1">
        <f t="array" ref="A98">A97+1</f>
        <v>83</v>
      </c>
      <c r="B98" s="79" t="s">
        <v>1228</v>
      </c>
      <c r="C98" s="97">
        <v>1</v>
      </c>
      <c r="D98" s="79" t="s">
        <v>1208</v>
      </c>
      <c r="E98" s="79" t="s">
        <v>1229</v>
      </c>
      <c r="F98" s="79" t="s">
        <v>78</v>
      </c>
      <c r="G98" s="80" t="s">
        <v>1122</v>
      </c>
      <c r="H98" s="81">
        <v>67516</v>
      </c>
      <c r="I98" s="109"/>
      <c r="J98" s="110">
        <v>47</v>
      </c>
      <c r="K98" s="99" t="s">
        <v>126</v>
      </c>
      <c r="L98" s="84">
        <v>46099</v>
      </c>
      <c r="M98" s="85">
        <v>46111</v>
      </c>
      <c r="N98" s="86">
        <v>46114</v>
      </c>
      <c r="O98" s="87">
        <v>0</v>
      </c>
      <c r="P98" s="88">
        <v>0</v>
      </c>
      <c r="Q98" s="89">
        <v>46113</v>
      </c>
      <c r="R98" s="96">
        <v>46136</v>
      </c>
      <c r="S98" s="86" cm="1">
        <f t="array" ref="S98">WORKDAY(R98,7)</f>
        <v>46147</v>
      </c>
      <c r="T98" s="87">
        <v>0</v>
      </c>
      <c r="U98" s="91" t="s">
        <v>105</v>
      </c>
      <c r="V98" s="92">
        <v>0</v>
      </c>
      <c r="W98" s="93" cm="1">
        <f t="array" ref="W98">WORKDAY(X98,-20)</f>
        <v>46157</v>
      </c>
      <c r="X98" s="90">
        <v>46185</v>
      </c>
      <c r="Y98" s="88">
        <v>0</v>
      </c>
      <c r="Z98" s="93">
        <v>46188</v>
      </c>
      <c r="AA98" s="90">
        <v>46237</v>
      </c>
      <c r="AB98" s="88">
        <v>0</v>
      </c>
      <c r="AC98" s="79" t="s">
        <v>49</v>
      </c>
      <c r="AD98" s="79" t="s">
        <v>49</v>
      </c>
      <c r="AE98" s="90"/>
      <c r="AF98" s="88">
        <v>0</v>
      </c>
      <c r="AG98" s="93" cm="1">
        <f t="array" ref="AG98">WORKDAY(AA98,2)</f>
        <v>46239</v>
      </c>
      <c r="AH98" s="90" cm="1">
        <f t="array" ref="AH98">WORKDAY(AG98,1)</f>
        <v>46240</v>
      </c>
      <c r="AI98" s="86" cm="1">
        <f t="array" ref="AI98">WORKDAY(AH98,1)</f>
        <v>46241</v>
      </c>
      <c r="AJ98" s="144"/>
      <c r="AK98" s="56"/>
    </row>
    <row r="99" spans="1:37" ht="25.5" customHeight="1">
      <c r="A99" s="140" cm="1">
        <f t="array" ref="A99">A98+1</f>
        <v>84</v>
      </c>
      <c r="B99" s="79" t="s">
        <v>213</v>
      </c>
      <c r="C99" s="97">
        <v>1</v>
      </c>
      <c r="D99" s="79" t="s">
        <v>204</v>
      </c>
      <c r="E99" s="79" t="s">
        <v>214</v>
      </c>
      <c r="F99" s="79"/>
      <c r="G99" s="80" t="s">
        <v>206</v>
      </c>
      <c r="H99" s="81">
        <v>51804</v>
      </c>
      <c r="I99" s="82">
        <v>34</v>
      </c>
      <c r="J99" s="98"/>
      <c r="K99" s="100">
        <v>0.4</v>
      </c>
      <c r="L99" s="84">
        <v>46099</v>
      </c>
      <c r="M99" s="85">
        <v>46122</v>
      </c>
      <c r="N99" s="86" cm="1">
        <f t="array" ref="N99">WORKDAY(M99,5)</f>
        <v>46129</v>
      </c>
      <c r="O99" s="87">
        <v>0</v>
      </c>
      <c r="P99" s="88">
        <v>0</v>
      </c>
      <c r="Q99" s="89">
        <v>46113</v>
      </c>
      <c r="R99" s="96">
        <v>46136</v>
      </c>
      <c r="S99" s="86" cm="1">
        <f t="array" ref="S99">WORKDAY(R99,10)</f>
        <v>46150</v>
      </c>
      <c r="T99" s="87">
        <v>0</v>
      </c>
      <c r="U99" s="91" t="s">
        <v>114</v>
      </c>
      <c r="V99" s="92">
        <v>0</v>
      </c>
      <c r="W99" s="93" cm="1">
        <f t="array" ref="W99">WORKDAY(X99,-20)</f>
        <v>46134</v>
      </c>
      <c r="X99" s="80" t="s">
        <v>162</v>
      </c>
      <c r="Y99" s="88">
        <v>0</v>
      </c>
      <c r="Z99" s="93">
        <v>46182</v>
      </c>
      <c r="AA99" s="90">
        <v>46238</v>
      </c>
      <c r="AB99" s="88">
        <v>0</v>
      </c>
      <c r="AC99" s="79" t="s">
        <v>49</v>
      </c>
      <c r="AD99" s="79" t="s">
        <v>49</v>
      </c>
      <c r="AE99" s="90"/>
      <c r="AF99" s="88">
        <v>0</v>
      </c>
      <c r="AG99" s="93" cm="1">
        <f t="array" ref="AG99">WORKDAY(AA99,2)</f>
        <v>46240</v>
      </c>
      <c r="AH99" s="90" cm="1">
        <f t="array" ref="AH99">WORKDAY(AG99,1)</f>
        <v>46241</v>
      </c>
      <c r="AI99" s="86" cm="1">
        <f t="array" ref="AI99">WORKDAY(AH99,1)</f>
        <v>46244</v>
      </c>
      <c r="AJ99" s="144"/>
      <c r="AK99" s="56"/>
    </row>
    <row r="100" spans="1:37" ht="25.5" customHeight="1">
      <c r="A100" s="140" cm="1">
        <f t="array" ref="A100">A99+1</f>
        <v>85</v>
      </c>
      <c r="B100" s="79" t="s">
        <v>1230</v>
      </c>
      <c r="C100" s="97">
        <v>1</v>
      </c>
      <c r="D100" s="79" t="s">
        <v>1208</v>
      </c>
      <c r="E100" s="79" t="s">
        <v>1231</v>
      </c>
      <c r="F100" s="79" t="s">
        <v>78</v>
      </c>
      <c r="G100" s="80" t="s">
        <v>1122</v>
      </c>
      <c r="H100" s="81">
        <v>67516</v>
      </c>
      <c r="I100" s="109"/>
      <c r="J100" s="110">
        <v>48</v>
      </c>
      <c r="K100" s="99" t="s">
        <v>126</v>
      </c>
      <c r="L100" s="84">
        <v>46099</v>
      </c>
      <c r="M100" s="85">
        <v>46111</v>
      </c>
      <c r="N100" s="86">
        <v>46114</v>
      </c>
      <c r="O100" s="87">
        <v>0</v>
      </c>
      <c r="P100" s="88">
        <v>0</v>
      </c>
      <c r="Q100" s="89">
        <v>46113</v>
      </c>
      <c r="R100" s="96">
        <v>46136</v>
      </c>
      <c r="S100" s="86" cm="1">
        <f t="array" ref="S100">WORKDAY(R100,7)</f>
        <v>46147</v>
      </c>
      <c r="T100" s="87">
        <v>0</v>
      </c>
      <c r="U100" s="91" t="s">
        <v>105</v>
      </c>
      <c r="V100" s="92">
        <v>0</v>
      </c>
      <c r="W100" s="93" cm="1">
        <f t="array" ref="W100">WORKDAY(X100,-20)</f>
        <v>46160</v>
      </c>
      <c r="X100" s="90">
        <v>46188</v>
      </c>
      <c r="Y100" s="88">
        <v>0</v>
      </c>
      <c r="Z100" s="93">
        <v>46189</v>
      </c>
      <c r="AA100" s="90">
        <v>46238</v>
      </c>
      <c r="AB100" s="88">
        <v>0</v>
      </c>
      <c r="AC100" s="79" t="s">
        <v>49</v>
      </c>
      <c r="AD100" s="79" t="s">
        <v>49</v>
      </c>
      <c r="AE100" s="90"/>
      <c r="AF100" s="88">
        <v>0</v>
      </c>
      <c r="AG100" s="93" cm="1">
        <f t="array" ref="AG100">WORKDAY(AA100,2)</f>
        <v>46240</v>
      </c>
      <c r="AH100" s="90" cm="1">
        <f t="array" ref="AH100">WORKDAY(AG100,1)</f>
        <v>46241</v>
      </c>
      <c r="AI100" s="86" cm="1">
        <f t="array" ref="AI100">WORKDAY(AH100,1)</f>
        <v>46244</v>
      </c>
      <c r="AJ100" s="144"/>
      <c r="AK100" s="56"/>
    </row>
    <row r="101" spans="1:37" ht="25.5" customHeight="1">
      <c r="A101" s="140" cm="1">
        <f t="array" ref="A101">A100+1</f>
        <v>86</v>
      </c>
      <c r="B101" s="79" t="s">
        <v>215</v>
      </c>
      <c r="C101" s="97">
        <v>1</v>
      </c>
      <c r="D101" s="79" t="s">
        <v>204</v>
      </c>
      <c r="E101" s="79" t="s">
        <v>216</v>
      </c>
      <c r="F101" s="79"/>
      <c r="G101" s="80" t="s">
        <v>206</v>
      </c>
      <c r="H101" s="81">
        <v>51804</v>
      </c>
      <c r="I101" s="82">
        <v>35</v>
      </c>
      <c r="J101" s="98"/>
      <c r="K101" s="100">
        <v>0.4</v>
      </c>
      <c r="L101" s="84">
        <v>46099</v>
      </c>
      <c r="M101" s="85">
        <v>46122</v>
      </c>
      <c r="N101" s="86" cm="1">
        <f t="array" ref="N101">WORKDAY(M101,5)</f>
        <v>46129</v>
      </c>
      <c r="O101" s="87">
        <v>0</v>
      </c>
      <c r="P101" s="88">
        <v>0</v>
      </c>
      <c r="Q101" s="89">
        <v>46113</v>
      </c>
      <c r="R101" s="96">
        <v>46136</v>
      </c>
      <c r="S101" s="86" cm="1">
        <f t="array" ref="S101">WORKDAY(R101,10)</f>
        <v>46150</v>
      </c>
      <c r="T101" s="87">
        <v>0</v>
      </c>
      <c r="U101" s="91" t="s">
        <v>114</v>
      </c>
      <c r="V101" s="92">
        <v>0</v>
      </c>
      <c r="W101" s="93" cm="1">
        <f t="array" ref="W101">WORKDAY(X101,-20)</f>
        <v>46139</v>
      </c>
      <c r="X101" s="80" t="s">
        <v>179</v>
      </c>
      <c r="Y101" s="88">
        <v>0</v>
      </c>
      <c r="Z101" s="93">
        <v>46183</v>
      </c>
      <c r="AA101" s="90">
        <v>46239</v>
      </c>
      <c r="AB101" s="88">
        <v>0</v>
      </c>
      <c r="AC101" s="79" t="s">
        <v>49</v>
      </c>
      <c r="AD101" s="79" t="s">
        <v>49</v>
      </c>
      <c r="AE101" s="90"/>
      <c r="AF101" s="88">
        <v>0</v>
      </c>
      <c r="AG101" s="93" cm="1">
        <f t="array" ref="AG101">WORKDAY(AA101,2)</f>
        <v>46241</v>
      </c>
      <c r="AH101" s="90" cm="1">
        <f t="array" ref="AH101">WORKDAY(AG101,1)</f>
        <v>46244</v>
      </c>
      <c r="AI101" s="86" cm="1">
        <f t="array" ref="AI101">WORKDAY(AH101,1)</f>
        <v>46245</v>
      </c>
      <c r="AJ101" s="144"/>
      <c r="AK101" s="56"/>
    </row>
    <row r="102" spans="1:37" ht="25.5" customHeight="1">
      <c r="A102" s="140" cm="1">
        <f t="array" ref="A102">A101+1</f>
        <v>87</v>
      </c>
      <c r="B102" s="79" t="s">
        <v>1232</v>
      </c>
      <c r="C102" s="97">
        <v>1</v>
      </c>
      <c r="D102" s="79" t="s">
        <v>1208</v>
      </c>
      <c r="E102" s="79" t="s">
        <v>1233</v>
      </c>
      <c r="F102" s="79" t="s">
        <v>78</v>
      </c>
      <c r="G102" s="80" t="s">
        <v>1122</v>
      </c>
      <c r="H102" s="81">
        <v>67516</v>
      </c>
      <c r="I102" s="109"/>
      <c r="J102" s="110">
        <v>49</v>
      </c>
      <c r="K102" s="107" t="s">
        <v>1125</v>
      </c>
      <c r="L102" s="105" cm="1">
        <f t="array" ref="L102">WORKDAY(M102,-10)</f>
        <v>46113</v>
      </c>
      <c r="M102" s="85">
        <v>46127</v>
      </c>
      <c r="N102" s="86" cm="1">
        <f t="array" ref="N102">WORKDAY(M102,10)</f>
        <v>46141</v>
      </c>
      <c r="O102" s="87">
        <v>0</v>
      </c>
      <c r="P102" s="88">
        <v>0</v>
      </c>
      <c r="Q102" s="89">
        <v>46113</v>
      </c>
      <c r="R102" s="96">
        <v>46136</v>
      </c>
      <c r="S102" s="86" cm="1">
        <f t="array" ref="S102">WORKDAY(R102,7)</f>
        <v>46147</v>
      </c>
      <c r="T102" s="87">
        <v>0</v>
      </c>
      <c r="U102" s="91" t="s">
        <v>105</v>
      </c>
      <c r="V102" s="92">
        <v>0</v>
      </c>
      <c r="W102" s="93" cm="1">
        <f t="array" ref="W102">WORKDAY(X102,-20)</f>
        <v>46160</v>
      </c>
      <c r="X102" s="90">
        <v>46188</v>
      </c>
      <c r="Y102" s="88">
        <v>0</v>
      </c>
      <c r="Z102" s="93">
        <v>46189</v>
      </c>
      <c r="AA102" s="90">
        <v>46239</v>
      </c>
      <c r="AB102" s="88">
        <v>0</v>
      </c>
      <c r="AC102" s="79" t="s">
        <v>49</v>
      </c>
      <c r="AD102" s="79" t="s">
        <v>49</v>
      </c>
      <c r="AE102" s="90"/>
      <c r="AF102" s="88">
        <v>0</v>
      </c>
      <c r="AG102" s="93" cm="1">
        <f t="array" ref="AG102">WORKDAY(AA102,2)</f>
        <v>46241</v>
      </c>
      <c r="AH102" s="90" cm="1">
        <f t="array" ref="AH102">WORKDAY(AG102,1)</f>
        <v>46244</v>
      </c>
      <c r="AI102" s="86" cm="1">
        <f t="array" ref="AI102">WORKDAY(AH102,1)</f>
        <v>46245</v>
      </c>
      <c r="AJ102" s="144"/>
      <c r="AK102" s="56"/>
    </row>
    <row r="103" spans="1:37" ht="25.5" customHeight="1">
      <c r="A103" s="140" cm="1">
        <f t="array" ref="A103">A102+1</f>
        <v>88</v>
      </c>
      <c r="B103" s="79" t="s">
        <v>217</v>
      </c>
      <c r="C103" s="97">
        <v>1</v>
      </c>
      <c r="D103" s="79" t="s">
        <v>204</v>
      </c>
      <c r="E103" s="79" t="s">
        <v>218</v>
      </c>
      <c r="F103" s="79"/>
      <c r="G103" s="80" t="s">
        <v>206</v>
      </c>
      <c r="H103" s="81">
        <v>51804</v>
      </c>
      <c r="I103" s="82">
        <v>36</v>
      </c>
      <c r="J103" s="98"/>
      <c r="K103" s="100">
        <v>0.4</v>
      </c>
      <c r="L103" s="84">
        <v>46099</v>
      </c>
      <c r="M103" s="85">
        <v>46122</v>
      </c>
      <c r="N103" s="86" cm="1">
        <f t="array" ref="N103">WORKDAY(M103,5)</f>
        <v>46129</v>
      </c>
      <c r="O103" s="87">
        <v>0</v>
      </c>
      <c r="P103" s="88">
        <v>0</v>
      </c>
      <c r="Q103" s="89">
        <v>46113</v>
      </c>
      <c r="R103" s="96">
        <v>46136</v>
      </c>
      <c r="S103" s="86" cm="1">
        <f t="array" ref="S103">WORKDAY(R103,10)</f>
        <v>46150</v>
      </c>
      <c r="T103" s="87">
        <v>0</v>
      </c>
      <c r="U103" s="91" t="s">
        <v>114</v>
      </c>
      <c r="V103" s="92">
        <v>0</v>
      </c>
      <c r="W103" s="93" cm="1">
        <f t="array" ref="W103">WORKDAY(X103,-20)</f>
        <v>46141</v>
      </c>
      <c r="X103" s="80" t="s">
        <v>190</v>
      </c>
      <c r="Y103" s="88">
        <v>0</v>
      </c>
      <c r="Z103" s="93">
        <v>46184</v>
      </c>
      <c r="AA103" s="90">
        <v>46240</v>
      </c>
      <c r="AB103" s="88">
        <v>0</v>
      </c>
      <c r="AC103" s="79" t="s">
        <v>49</v>
      </c>
      <c r="AD103" s="79" t="s">
        <v>49</v>
      </c>
      <c r="AE103" s="90"/>
      <c r="AF103" s="88">
        <v>0</v>
      </c>
      <c r="AG103" s="93" cm="1">
        <f t="array" ref="AG103">WORKDAY(AA103,2)</f>
        <v>46244</v>
      </c>
      <c r="AH103" s="90" cm="1">
        <f t="array" ref="AH103">WORKDAY(AG103,1)</f>
        <v>46245</v>
      </c>
      <c r="AI103" s="86" cm="1">
        <f t="array" ref="AI103">WORKDAY(AH103,1)</f>
        <v>46246</v>
      </c>
      <c r="AJ103" s="144"/>
      <c r="AK103" s="56"/>
    </row>
    <row r="104" spans="1:37" ht="25.5" customHeight="1">
      <c r="A104" s="140" cm="1">
        <f t="array" ref="A104">A103+1</f>
        <v>89</v>
      </c>
      <c r="B104" s="79" t="s">
        <v>1234</v>
      </c>
      <c r="C104" s="97">
        <v>1</v>
      </c>
      <c r="D104" s="79" t="s">
        <v>1204</v>
      </c>
      <c r="E104" s="79" t="s">
        <v>1235</v>
      </c>
      <c r="F104" s="79" t="s">
        <v>78</v>
      </c>
      <c r="G104" s="80" t="s">
        <v>1122</v>
      </c>
      <c r="H104" s="81">
        <v>67516</v>
      </c>
      <c r="I104" s="109"/>
      <c r="J104" s="110">
        <v>50</v>
      </c>
      <c r="K104" s="100">
        <v>0</v>
      </c>
      <c r="L104" s="105" cm="1">
        <f t="array" ref="L104">WORKDAY(M104,-10)</f>
        <v>46113</v>
      </c>
      <c r="M104" s="85">
        <v>46127</v>
      </c>
      <c r="N104" s="86" cm="1">
        <f t="array" ref="N104">WORKDAY(M104,10)</f>
        <v>46141</v>
      </c>
      <c r="O104" s="87">
        <v>0</v>
      </c>
      <c r="P104" s="88">
        <v>0</v>
      </c>
      <c r="Q104" s="89">
        <v>46113</v>
      </c>
      <c r="R104" s="96">
        <v>46136</v>
      </c>
      <c r="S104" s="86" cm="1">
        <f t="array" ref="S104">WORKDAY(R104,7)</f>
        <v>46147</v>
      </c>
      <c r="T104" s="87">
        <v>0</v>
      </c>
      <c r="U104" s="91" t="s">
        <v>105</v>
      </c>
      <c r="V104" s="92">
        <v>0</v>
      </c>
      <c r="W104" s="93" cm="1">
        <f t="array" ref="W104">WORKDAY(X104,-20)</f>
        <v>46161</v>
      </c>
      <c r="X104" s="90">
        <v>46189</v>
      </c>
      <c r="Y104" s="88">
        <v>0</v>
      </c>
      <c r="Z104" s="93">
        <v>46192</v>
      </c>
      <c r="AA104" s="90">
        <v>46240</v>
      </c>
      <c r="AB104" s="88">
        <v>0</v>
      </c>
      <c r="AC104" s="79" t="s">
        <v>49</v>
      </c>
      <c r="AD104" s="79" t="s">
        <v>49</v>
      </c>
      <c r="AE104" s="90"/>
      <c r="AF104" s="88">
        <v>0</v>
      </c>
      <c r="AG104" s="93" cm="1">
        <f t="array" ref="AG104">WORKDAY(AA104,2)</f>
        <v>46244</v>
      </c>
      <c r="AH104" s="90" cm="1">
        <f t="array" ref="AH104">WORKDAY(AG104,1)</f>
        <v>46245</v>
      </c>
      <c r="AI104" s="86" cm="1">
        <f t="array" ref="AI104">WORKDAY(AH104,1)</f>
        <v>46246</v>
      </c>
      <c r="AJ104" s="144"/>
      <c r="AK104" s="56"/>
    </row>
    <row r="105" spans="1:37" ht="25.5" customHeight="1">
      <c r="A105" s="140" cm="1">
        <f t="array" ref="A105">A104+1</f>
        <v>90</v>
      </c>
      <c r="B105" s="79" t="s">
        <v>219</v>
      </c>
      <c r="C105" s="97">
        <v>1</v>
      </c>
      <c r="D105" s="79" t="s">
        <v>220</v>
      </c>
      <c r="E105" s="79" t="s">
        <v>221</v>
      </c>
      <c r="F105" s="79"/>
      <c r="G105" s="80" t="s">
        <v>222</v>
      </c>
      <c r="H105" s="81">
        <v>42852</v>
      </c>
      <c r="I105" s="82">
        <v>37</v>
      </c>
      <c r="J105" s="98"/>
      <c r="K105" s="100">
        <v>0.4</v>
      </c>
      <c r="L105" s="84">
        <v>46099</v>
      </c>
      <c r="M105" s="85">
        <v>46127</v>
      </c>
      <c r="N105" s="86" cm="1">
        <f t="array" ref="N105">WORKDAY(M105,5)</f>
        <v>46134</v>
      </c>
      <c r="O105" s="87">
        <v>0</v>
      </c>
      <c r="P105" s="88">
        <v>0</v>
      </c>
      <c r="Q105" s="89">
        <v>46113</v>
      </c>
      <c r="R105" s="96">
        <v>46136</v>
      </c>
      <c r="S105" s="86" cm="1">
        <f t="array" ref="S105">WORKDAY(R105,10)</f>
        <v>46150</v>
      </c>
      <c r="T105" s="87">
        <v>0</v>
      </c>
      <c r="U105" s="91" t="s">
        <v>114</v>
      </c>
      <c r="V105" s="92">
        <v>0</v>
      </c>
      <c r="W105" s="93" cm="1">
        <f t="array" ref="W105">WORKDAY(X105,-20)</f>
        <v>46143</v>
      </c>
      <c r="X105" s="80" t="s">
        <v>200</v>
      </c>
      <c r="Y105" s="88">
        <v>0</v>
      </c>
      <c r="Z105" s="93">
        <v>46185</v>
      </c>
      <c r="AA105" s="90">
        <v>46241</v>
      </c>
      <c r="AB105" s="88">
        <v>0</v>
      </c>
      <c r="AC105" s="79" t="s">
        <v>49</v>
      </c>
      <c r="AD105" s="79" t="s">
        <v>49</v>
      </c>
      <c r="AE105" s="90"/>
      <c r="AF105" s="88">
        <v>0</v>
      </c>
      <c r="AG105" s="93" cm="1">
        <f t="array" ref="AG105">WORKDAY(AA105,2)</f>
        <v>46245</v>
      </c>
      <c r="AH105" s="90" cm="1">
        <f t="array" ref="AH105">WORKDAY(AG105,1)</f>
        <v>46246</v>
      </c>
      <c r="AI105" s="86" cm="1">
        <f t="array" ref="AI105">WORKDAY(AH105,1)</f>
        <v>46247</v>
      </c>
      <c r="AJ105" s="144"/>
      <c r="AK105" s="56"/>
    </row>
    <row r="106" spans="1:37" ht="25.5" customHeight="1">
      <c r="A106" s="140" cm="1">
        <f t="array" ref="A106">A105+1</f>
        <v>91</v>
      </c>
      <c r="B106" s="79" t="s">
        <v>1236</v>
      </c>
      <c r="C106" s="97">
        <v>1</v>
      </c>
      <c r="D106" s="79" t="s">
        <v>1208</v>
      </c>
      <c r="E106" s="79" t="s">
        <v>1237</v>
      </c>
      <c r="F106" s="79" t="s">
        <v>78</v>
      </c>
      <c r="G106" s="80" t="s">
        <v>1122</v>
      </c>
      <c r="H106" s="81">
        <v>67516</v>
      </c>
      <c r="I106" s="109"/>
      <c r="J106" s="110">
        <v>51</v>
      </c>
      <c r="K106" s="100">
        <v>0</v>
      </c>
      <c r="L106" s="105" cm="1">
        <f t="array" ref="L106">WORKDAY(M106,-10)</f>
        <v>46113</v>
      </c>
      <c r="M106" s="85">
        <v>46127</v>
      </c>
      <c r="N106" s="86" cm="1">
        <f t="array" ref="N106">WORKDAY(M106,10)</f>
        <v>46141</v>
      </c>
      <c r="O106" s="87">
        <v>0</v>
      </c>
      <c r="P106" s="88">
        <v>0</v>
      </c>
      <c r="Q106" s="89">
        <v>46113</v>
      </c>
      <c r="R106" s="96">
        <v>46136</v>
      </c>
      <c r="S106" s="86" cm="1">
        <f t="array" ref="S106">WORKDAY(R106,7)</f>
        <v>46147</v>
      </c>
      <c r="T106" s="87">
        <v>0</v>
      </c>
      <c r="U106" s="91" t="s">
        <v>105</v>
      </c>
      <c r="V106" s="92">
        <v>0</v>
      </c>
      <c r="W106" s="93" cm="1">
        <f t="array" ref="W106">WORKDAY(X106,-20)</f>
        <v>46161</v>
      </c>
      <c r="X106" s="90">
        <v>46189</v>
      </c>
      <c r="Y106" s="88">
        <v>0</v>
      </c>
      <c r="Z106" s="93">
        <v>46192</v>
      </c>
      <c r="AA106" s="90">
        <v>46241</v>
      </c>
      <c r="AB106" s="88">
        <v>0</v>
      </c>
      <c r="AC106" s="79" t="s">
        <v>49</v>
      </c>
      <c r="AD106" s="79" t="s">
        <v>49</v>
      </c>
      <c r="AE106" s="90"/>
      <c r="AF106" s="88">
        <v>0</v>
      </c>
      <c r="AG106" s="93" cm="1">
        <f t="array" ref="AG106">WORKDAY(AA106,2)</f>
        <v>46245</v>
      </c>
      <c r="AH106" s="90" cm="1">
        <f t="array" ref="AH106">WORKDAY(AG106,1)</f>
        <v>46246</v>
      </c>
      <c r="AI106" s="86" cm="1">
        <f t="array" ref="AI106">WORKDAY(AH106,1)</f>
        <v>46247</v>
      </c>
      <c r="AJ106" s="144"/>
      <c r="AK106" s="56"/>
    </row>
    <row r="107" spans="1:37" ht="25.5" customHeight="1">
      <c r="A107" s="140" cm="1">
        <f t="array" ref="A107">A106+1</f>
        <v>92</v>
      </c>
      <c r="B107" s="79" t="s">
        <v>223</v>
      </c>
      <c r="C107" s="97">
        <v>1</v>
      </c>
      <c r="D107" s="79" t="s">
        <v>220</v>
      </c>
      <c r="E107" s="79" t="s">
        <v>224</v>
      </c>
      <c r="F107" s="79"/>
      <c r="G107" s="80" t="s">
        <v>222</v>
      </c>
      <c r="H107" s="81">
        <v>42852</v>
      </c>
      <c r="I107" s="82">
        <v>38</v>
      </c>
      <c r="J107" s="98"/>
      <c r="K107" s="100">
        <v>0.4</v>
      </c>
      <c r="L107" s="84">
        <v>46099</v>
      </c>
      <c r="M107" s="85">
        <v>46127</v>
      </c>
      <c r="N107" s="86" cm="1">
        <f t="array" ref="N107">WORKDAY(M107,5)</f>
        <v>46134</v>
      </c>
      <c r="O107" s="87">
        <v>0</v>
      </c>
      <c r="P107" s="88">
        <v>0</v>
      </c>
      <c r="Q107" s="89">
        <v>46113</v>
      </c>
      <c r="R107" s="96">
        <v>46136</v>
      </c>
      <c r="S107" s="86" cm="1">
        <f t="array" ref="S107">WORKDAY(R107,10)</f>
        <v>46150</v>
      </c>
      <c r="T107" s="87">
        <v>0</v>
      </c>
      <c r="U107" s="91" t="s">
        <v>114</v>
      </c>
      <c r="V107" s="92">
        <v>0</v>
      </c>
      <c r="W107" s="93" cm="1">
        <f t="array" ref="W107">WORKDAY(X107,-20)</f>
        <v>46147</v>
      </c>
      <c r="X107" s="90">
        <v>46175</v>
      </c>
      <c r="Y107" s="88">
        <v>0</v>
      </c>
      <c r="Z107" s="93">
        <v>46188</v>
      </c>
      <c r="AA107" s="90">
        <v>46244</v>
      </c>
      <c r="AB107" s="88">
        <v>0</v>
      </c>
      <c r="AC107" s="79" t="s">
        <v>49</v>
      </c>
      <c r="AD107" s="79" t="s">
        <v>49</v>
      </c>
      <c r="AE107" s="90"/>
      <c r="AF107" s="88">
        <v>0</v>
      </c>
      <c r="AG107" s="93" cm="1">
        <f t="array" ref="AG107">WORKDAY(AA107,2)</f>
        <v>46246</v>
      </c>
      <c r="AH107" s="90" cm="1">
        <f t="array" ref="AH107">WORKDAY(AG107,1)</f>
        <v>46247</v>
      </c>
      <c r="AI107" s="86" cm="1">
        <f t="array" ref="AI107">WORKDAY(AH107,1)</f>
        <v>46248</v>
      </c>
      <c r="AJ107" s="144"/>
      <c r="AK107" s="56"/>
    </row>
    <row r="108" spans="1:37" ht="25.5" customHeight="1">
      <c r="A108" s="140" cm="1">
        <f t="array" ref="A108">A107+1</f>
        <v>93</v>
      </c>
      <c r="B108" s="79" t="s">
        <v>1238</v>
      </c>
      <c r="C108" s="97">
        <v>1</v>
      </c>
      <c r="D108" s="79" t="s">
        <v>1208</v>
      </c>
      <c r="E108" s="79" t="s">
        <v>1239</v>
      </c>
      <c r="F108" s="79" t="s">
        <v>78</v>
      </c>
      <c r="G108" s="80" t="s">
        <v>1122</v>
      </c>
      <c r="H108" s="81">
        <v>67516</v>
      </c>
      <c r="I108" s="109"/>
      <c r="J108" s="110">
        <v>52</v>
      </c>
      <c r="K108" s="100">
        <v>0</v>
      </c>
      <c r="L108" s="105" cm="1">
        <f t="array" ref="L108">WORKDAY(M108,-10)</f>
        <v>46113</v>
      </c>
      <c r="M108" s="85">
        <v>46127</v>
      </c>
      <c r="N108" s="86" cm="1">
        <f t="array" ref="N108">WORKDAY(M108,10)</f>
        <v>46141</v>
      </c>
      <c r="O108" s="87">
        <v>0</v>
      </c>
      <c r="P108" s="88">
        <v>0</v>
      </c>
      <c r="Q108" s="89">
        <v>46113</v>
      </c>
      <c r="R108" s="96">
        <v>46136</v>
      </c>
      <c r="S108" s="86" cm="1">
        <f t="array" ref="S108">WORKDAY(R108,7)</f>
        <v>46147</v>
      </c>
      <c r="T108" s="87">
        <v>0</v>
      </c>
      <c r="U108" s="91" t="s">
        <v>105</v>
      </c>
      <c r="V108" s="92">
        <v>0</v>
      </c>
      <c r="W108" s="93" cm="1">
        <f t="array" ref="W108">WORKDAY(X108,-20)</f>
        <v>46162</v>
      </c>
      <c r="X108" s="90">
        <v>46190</v>
      </c>
      <c r="Y108" s="88">
        <v>0</v>
      </c>
      <c r="Z108" s="93">
        <v>46195</v>
      </c>
      <c r="AA108" s="90">
        <v>46244</v>
      </c>
      <c r="AB108" s="88">
        <v>0</v>
      </c>
      <c r="AC108" s="79" t="s">
        <v>49</v>
      </c>
      <c r="AD108" s="79" t="s">
        <v>49</v>
      </c>
      <c r="AE108" s="90"/>
      <c r="AF108" s="88">
        <v>0</v>
      </c>
      <c r="AG108" s="93" cm="1">
        <f t="array" ref="AG108">WORKDAY(AA108,2)</f>
        <v>46246</v>
      </c>
      <c r="AH108" s="90" cm="1">
        <f t="array" ref="AH108">WORKDAY(AG108,1)</f>
        <v>46247</v>
      </c>
      <c r="AI108" s="86" cm="1">
        <f t="array" ref="AI108">WORKDAY(AH108,1)</f>
        <v>46248</v>
      </c>
      <c r="AJ108" s="144"/>
      <c r="AK108" s="56"/>
    </row>
    <row r="109" spans="1:37" ht="25.5" customHeight="1">
      <c r="A109" s="140" cm="1">
        <f t="array" ref="A109">A108+1</f>
        <v>94</v>
      </c>
      <c r="B109" s="79" t="s">
        <v>225</v>
      </c>
      <c r="C109" s="97">
        <v>1</v>
      </c>
      <c r="D109" s="79" t="s">
        <v>220</v>
      </c>
      <c r="E109" s="79" t="s">
        <v>226</v>
      </c>
      <c r="F109" s="79"/>
      <c r="G109" s="80" t="s">
        <v>222</v>
      </c>
      <c r="H109" s="81">
        <v>42852</v>
      </c>
      <c r="I109" s="82">
        <v>39</v>
      </c>
      <c r="J109" s="98"/>
      <c r="K109" s="100">
        <v>0.4</v>
      </c>
      <c r="L109" s="84">
        <v>46099</v>
      </c>
      <c r="M109" s="85">
        <v>46127</v>
      </c>
      <c r="N109" s="86" cm="1">
        <f t="array" ref="N109">WORKDAY(M109,5)</f>
        <v>46134</v>
      </c>
      <c r="O109" s="87">
        <v>0</v>
      </c>
      <c r="P109" s="88">
        <v>0</v>
      </c>
      <c r="Q109" s="89">
        <v>46113</v>
      </c>
      <c r="R109" s="96">
        <v>46136</v>
      </c>
      <c r="S109" s="86" cm="1">
        <f t="array" ref="S109">WORKDAY(R109,10)</f>
        <v>46150</v>
      </c>
      <c r="T109" s="87">
        <v>0</v>
      </c>
      <c r="U109" s="91" t="s">
        <v>114</v>
      </c>
      <c r="V109" s="92">
        <v>0</v>
      </c>
      <c r="W109" s="93" cm="1">
        <f t="array" ref="W109">WORKDAY(X109,-20)</f>
        <v>46149</v>
      </c>
      <c r="X109" s="90">
        <v>46177</v>
      </c>
      <c r="Y109" s="88">
        <v>0</v>
      </c>
      <c r="Z109" s="93">
        <v>46189</v>
      </c>
      <c r="AA109" s="90">
        <v>46245</v>
      </c>
      <c r="AB109" s="88">
        <v>0</v>
      </c>
      <c r="AC109" s="79" t="s">
        <v>49</v>
      </c>
      <c r="AD109" s="79" t="s">
        <v>49</v>
      </c>
      <c r="AE109" s="90"/>
      <c r="AF109" s="88">
        <v>0</v>
      </c>
      <c r="AG109" s="93" cm="1">
        <f t="array" ref="AG109">WORKDAY(AA109,2)</f>
        <v>46247</v>
      </c>
      <c r="AH109" s="90" cm="1">
        <f t="array" ref="AH109">WORKDAY(AG109,1)</f>
        <v>46248</v>
      </c>
      <c r="AI109" s="86" cm="1">
        <f t="array" ref="AI109">WORKDAY(AH109,1)</f>
        <v>46251</v>
      </c>
      <c r="AJ109" s="144"/>
      <c r="AK109" s="56"/>
    </row>
    <row r="110" spans="1:37" ht="25.5" customHeight="1">
      <c r="A110" s="140" cm="1">
        <f t="array" ref="A110">A109+1</f>
        <v>95</v>
      </c>
      <c r="B110" s="79" t="s">
        <v>1240</v>
      </c>
      <c r="C110" s="97">
        <v>1</v>
      </c>
      <c r="D110" s="79" t="s">
        <v>1208</v>
      </c>
      <c r="E110" s="79" t="s">
        <v>1241</v>
      </c>
      <c r="F110" s="79" t="s">
        <v>78</v>
      </c>
      <c r="G110" s="80" t="s">
        <v>1122</v>
      </c>
      <c r="H110" s="81">
        <v>67516</v>
      </c>
      <c r="I110" s="109"/>
      <c r="J110" s="110">
        <v>53</v>
      </c>
      <c r="K110" s="100">
        <v>0</v>
      </c>
      <c r="L110" s="105" cm="1">
        <f t="array" ref="L110">WORKDAY(M110,-10)</f>
        <v>46113</v>
      </c>
      <c r="M110" s="85">
        <v>46127</v>
      </c>
      <c r="N110" s="86" cm="1">
        <f t="array" ref="N110">WORKDAY(M110,10)</f>
        <v>46141</v>
      </c>
      <c r="O110" s="87">
        <v>0</v>
      </c>
      <c r="P110" s="88">
        <v>0</v>
      </c>
      <c r="Q110" s="89">
        <v>46113</v>
      </c>
      <c r="R110" s="96">
        <v>46136</v>
      </c>
      <c r="S110" s="86" cm="1">
        <f t="array" ref="S110">WORKDAY(R110,7)</f>
        <v>46147</v>
      </c>
      <c r="T110" s="87">
        <v>0</v>
      </c>
      <c r="U110" s="91" t="s">
        <v>105</v>
      </c>
      <c r="V110" s="92">
        <v>0</v>
      </c>
      <c r="W110" s="93" cm="1">
        <f t="array" ref="W110">WORKDAY(X110,-20)</f>
        <v>46162</v>
      </c>
      <c r="X110" s="90">
        <v>46190</v>
      </c>
      <c r="Y110" s="88">
        <v>0</v>
      </c>
      <c r="Z110" s="93">
        <v>46195</v>
      </c>
      <c r="AA110" s="90">
        <v>46245</v>
      </c>
      <c r="AB110" s="88">
        <v>0</v>
      </c>
      <c r="AC110" s="79" t="s">
        <v>49</v>
      </c>
      <c r="AD110" s="79" t="s">
        <v>49</v>
      </c>
      <c r="AE110" s="90"/>
      <c r="AF110" s="88">
        <v>0</v>
      </c>
      <c r="AG110" s="93" cm="1">
        <f t="array" ref="AG110">WORKDAY(AA110,2)</f>
        <v>46247</v>
      </c>
      <c r="AH110" s="90" cm="1">
        <f t="array" ref="AH110">WORKDAY(AG110,1)</f>
        <v>46248</v>
      </c>
      <c r="AI110" s="86" cm="1">
        <f t="array" ref="AI110">WORKDAY(AH110,1)</f>
        <v>46251</v>
      </c>
      <c r="AJ110" s="144"/>
      <c r="AK110" s="56"/>
    </row>
    <row r="111" spans="1:37" ht="25.5" customHeight="1">
      <c r="A111" s="140" cm="1">
        <f t="array" ref="A111">A110+1</f>
        <v>96</v>
      </c>
      <c r="B111" s="79" t="s">
        <v>227</v>
      </c>
      <c r="C111" s="97">
        <v>1</v>
      </c>
      <c r="D111" s="79" t="s">
        <v>220</v>
      </c>
      <c r="E111" s="79" t="s">
        <v>228</v>
      </c>
      <c r="F111" s="79"/>
      <c r="G111" s="80" t="s">
        <v>222</v>
      </c>
      <c r="H111" s="81">
        <v>42852</v>
      </c>
      <c r="I111" s="82">
        <v>40</v>
      </c>
      <c r="J111" s="98"/>
      <c r="K111" s="100">
        <v>0.4</v>
      </c>
      <c r="L111" s="84">
        <v>46099</v>
      </c>
      <c r="M111" s="85">
        <v>46127</v>
      </c>
      <c r="N111" s="86" cm="1">
        <f t="array" ref="N111">WORKDAY(M111,5)</f>
        <v>46134</v>
      </c>
      <c r="O111" s="87">
        <v>0</v>
      </c>
      <c r="P111" s="88">
        <v>0</v>
      </c>
      <c r="Q111" s="89">
        <v>46113</v>
      </c>
      <c r="R111" s="96">
        <v>46136</v>
      </c>
      <c r="S111" s="86" cm="1">
        <f t="array" ref="S111">WORKDAY(R111,10)</f>
        <v>46150</v>
      </c>
      <c r="T111" s="87">
        <v>0</v>
      </c>
      <c r="U111" s="91" t="s">
        <v>114</v>
      </c>
      <c r="V111" s="92">
        <v>0</v>
      </c>
      <c r="W111" s="93" cm="1">
        <f t="array" ref="W111">WORKDAY(X111,-20)</f>
        <v>46153</v>
      </c>
      <c r="X111" s="90">
        <v>46181</v>
      </c>
      <c r="Y111" s="88">
        <v>0</v>
      </c>
      <c r="Z111" s="93">
        <v>46190</v>
      </c>
      <c r="AA111" s="90">
        <v>46246</v>
      </c>
      <c r="AB111" s="88">
        <v>0</v>
      </c>
      <c r="AC111" s="79" t="s">
        <v>49</v>
      </c>
      <c r="AD111" s="79" t="s">
        <v>49</v>
      </c>
      <c r="AE111" s="90"/>
      <c r="AF111" s="88">
        <v>0</v>
      </c>
      <c r="AG111" s="93" cm="1">
        <f t="array" ref="AG111">WORKDAY(AA111,2)</f>
        <v>46248</v>
      </c>
      <c r="AH111" s="90" cm="1">
        <f t="array" ref="AH111">WORKDAY(AG111,1)</f>
        <v>46251</v>
      </c>
      <c r="AI111" s="86" cm="1">
        <f t="array" ref="AI111">WORKDAY(AH111,1)</f>
        <v>46252</v>
      </c>
      <c r="AJ111" s="144"/>
      <c r="AK111" s="56"/>
    </row>
    <row r="112" spans="1:37" ht="25.5" customHeight="1">
      <c r="A112" s="140" cm="1">
        <f t="array" ref="A112">A111+1</f>
        <v>97</v>
      </c>
      <c r="B112" s="79" t="s">
        <v>1242</v>
      </c>
      <c r="C112" s="97">
        <v>1</v>
      </c>
      <c r="D112" s="79" t="s">
        <v>1208</v>
      </c>
      <c r="E112" s="79" t="s">
        <v>1243</v>
      </c>
      <c r="F112" s="79" t="s">
        <v>78</v>
      </c>
      <c r="G112" s="80" t="s">
        <v>1122</v>
      </c>
      <c r="H112" s="81">
        <v>67516</v>
      </c>
      <c r="I112" s="109"/>
      <c r="J112" s="110">
        <v>54</v>
      </c>
      <c r="K112" s="100">
        <v>0</v>
      </c>
      <c r="L112" s="105" cm="1">
        <f t="array" ref="L112">WORKDAY(M112,-10)</f>
        <v>46113</v>
      </c>
      <c r="M112" s="85">
        <v>46127</v>
      </c>
      <c r="N112" s="86" cm="1">
        <f t="array" ref="N112">WORKDAY(M112,10)</f>
        <v>46141</v>
      </c>
      <c r="O112" s="87">
        <v>0</v>
      </c>
      <c r="P112" s="88">
        <v>0</v>
      </c>
      <c r="Q112" s="89">
        <v>46113</v>
      </c>
      <c r="R112" s="96">
        <v>46136</v>
      </c>
      <c r="S112" s="86" cm="1">
        <f t="array" ref="S112">WORKDAY(R112,7)</f>
        <v>46147</v>
      </c>
      <c r="T112" s="87">
        <v>0</v>
      </c>
      <c r="U112" s="91" t="s">
        <v>105</v>
      </c>
      <c r="V112" s="92">
        <v>0</v>
      </c>
      <c r="W112" s="93" cm="1">
        <f t="array" ref="W112">WORKDAY(X112,-20)</f>
        <v>46163</v>
      </c>
      <c r="X112" s="90">
        <v>46191</v>
      </c>
      <c r="Y112" s="88">
        <v>0</v>
      </c>
      <c r="Z112" s="93">
        <v>46196</v>
      </c>
      <c r="AA112" s="90">
        <v>46246</v>
      </c>
      <c r="AB112" s="88">
        <v>0</v>
      </c>
      <c r="AC112" s="79" t="s">
        <v>49</v>
      </c>
      <c r="AD112" s="79" t="s">
        <v>49</v>
      </c>
      <c r="AE112" s="90"/>
      <c r="AF112" s="88">
        <v>0</v>
      </c>
      <c r="AG112" s="93" cm="1">
        <f t="array" ref="AG112">WORKDAY(AA112,2)</f>
        <v>46248</v>
      </c>
      <c r="AH112" s="90" cm="1">
        <f t="array" ref="AH112">WORKDAY(AG112,1)</f>
        <v>46251</v>
      </c>
      <c r="AI112" s="86" cm="1">
        <f t="array" ref="AI112">WORKDAY(AH112,1)</f>
        <v>46252</v>
      </c>
      <c r="AJ112" s="144"/>
      <c r="AK112" s="56"/>
    </row>
    <row r="113" spans="1:37" ht="25.5" customHeight="1">
      <c r="A113" s="140" cm="1">
        <f t="array" ref="A113">A112+1</f>
        <v>98</v>
      </c>
      <c r="B113" s="79" t="s">
        <v>229</v>
      </c>
      <c r="C113" s="97">
        <v>1</v>
      </c>
      <c r="D113" s="79" t="s">
        <v>220</v>
      </c>
      <c r="E113" s="79" t="s">
        <v>230</v>
      </c>
      <c r="F113" s="79"/>
      <c r="G113" s="80" t="s">
        <v>222</v>
      </c>
      <c r="H113" s="81">
        <v>42852</v>
      </c>
      <c r="I113" s="82">
        <v>41</v>
      </c>
      <c r="J113" s="98"/>
      <c r="K113" s="100">
        <v>0.4</v>
      </c>
      <c r="L113" s="84">
        <v>46099</v>
      </c>
      <c r="M113" s="85">
        <v>46127</v>
      </c>
      <c r="N113" s="86" cm="1">
        <f t="array" ref="N113">WORKDAY(M113,5)</f>
        <v>46134</v>
      </c>
      <c r="O113" s="87">
        <v>0</v>
      </c>
      <c r="P113" s="88">
        <v>0</v>
      </c>
      <c r="Q113" s="89">
        <v>46113</v>
      </c>
      <c r="R113" s="96">
        <v>46136</v>
      </c>
      <c r="S113" s="86" cm="1">
        <f t="array" ref="S113">WORKDAY(R113,10)</f>
        <v>46150</v>
      </c>
      <c r="T113" s="87">
        <v>0</v>
      </c>
      <c r="U113" s="91" t="s">
        <v>114</v>
      </c>
      <c r="V113" s="92">
        <v>0</v>
      </c>
      <c r="W113" s="93" cm="1">
        <f t="array" ref="W113">WORKDAY(X113,-20)</f>
        <v>46153</v>
      </c>
      <c r="X113" s="90">
        <v>46181</v>
      </c>
      <c r="Y113" s="88">
        <v>0</v>
      </c>
      <c r="Z113" s="93">
        <v>46191</v>
      </c>
      <c r="AA113" s="90">
        <v>46247</v>
      </c>
      <c r="AB113" s="88">
        <v>0</v>
      </c>
      <c r="AC113" s="79" t="s">
        <v>49</v>
      </c>
      <c r="AD113" s="79" t="s">
        <v>49</v>
      </c>
      <c r="AE113" s="90"/>
      <c r="AF113" s="88">
        <v>0</v>
      </c>
      <c r="AG113" s="93" cm="1">
        <f t="array" ref="AG113">WORKDAY(AA113,2)</f>
        <v>46251</v>
      </c>
      <c r="AH113" s="90" cm="1">
        <f t="array" ref="AH113">WORKDAY(AG113,1)</f>
        <v>46252</v>
      </c>
      <c r="AI113" s="86" cm="1">
        <f t="array" ref="AI113">WORKDAY(AH113,1)</f>
        <v>46253</v>
      </c>
      <c r="AJ113" s="144"/>
      <c r="AK113" s="56"/>
    </row>
    <row r="114" spans="1:37" ht="25.5" customHeight="1">
      <c r="A114" s="140" cm="1">
        <f t="array" ref="A114">A113+1</f>
        <v>99</v>
      </c>
      <c r="B114" s="79" t="s">
        <v>1244</v>
      </c>
      <c r="C114" s="97">
        <v>1</v>
      </c>
      <c r="D114" s="79" t="s">
        <v>1208</v>
      </c>
      <c r="E114" s="79" t="s">
        <v>1245</v>
      </c>
      <c r="F114" s="79" t="s">
        <v>78</v>
      </c>
      <c r="G114" s="80" t="s">
        <v>1122</v>
      </c>
      <c r="H114" s="81">
        <v>67516</v>
      </c>
      <c r="I114" s="109"/>
      <c r="J114" s="110">
        <v>55</v>
      </c>
      <c r="K114" s="100">
        <v>0</v>
      </c>
      <c r="L114" s="105" cm="1">
        <f t="array" ref="L114">WORKDAY(M114,-10)</f>
        <v>46113</v>
      </c>
      <c r="M114" s="85">
        <v>46127</v>
      </c>
      <c r="N114" s="86" cm="1">
        <f t="array" ref="N114">WORKDAY(M114,10)</f>
        <v>46141</v>
      </c>
      <c r="O114" s="87">
        <v>0</v>
      </c>
      <c r="P114" s="88">
        <v>0</v>
      </c>
      <c r="Q114" s="89">
        <v>46113</v>
      </c>
      <c r="R114" s="96">
        <v>46136</v>
      </c>
      <c r="S114" s="86" cm="1">
        <f t="array" ref="S114">WORKDAY(R114,7)</f>
        <v>46147</v>
      </c>
      <c r="T114" s="87">
        <v>0</v>
      </c>
      <c r="U114" s="91" t="s">
        <v>105</v>
      </c>
      <c r="V114" s="92">
        <v>0</v>
      </c>
      <c r="W114" s="93" cm="1">
        <f t="array" ref="W114">WORKDAY(X114,-20)</f>
        <v>46164</v>
      </c>
      <c r="X114" s="90">
        <v>46192</v>
      </c>
      <c r="Y114" s="88">
        <v>0</v>
      </c>
      <c r="Z114" s="93">
        <v>46197</v>
      </c>
      <c r="AA114" s="90">
        <v>46247</v>
      </c>
      <c r="AB114" s="88">
        <v>0</v>
      </c>
      <c r="AC114" s="79" t="s">
        <v>49</v>
      </c>
      <c r="AD114" s="79" t="s">
        <v>49</v>
      </c>
      <c r="AE114" s="90"/>
      <c r="AF114" s="88">
        <v>0</v>
      </c>
      <c r="AG114" s="93" cm="1">
        <f t="array" ref="AG114">WORKDAY(AA114,2)</f>
        <v>46251</v>
      </c>
      <c r="AH114" s="90" cm="1">
        <f t="array" ref="AH114">WORKDAY(AG114,1)</f>
        <v>46252</v>
      </c>
      <c r="AI114" s="86" cm="1">
        <f t="array" ref="AI114">WORKDAY(AH114,1)</f>
        <v>46253</v>
      </c>
      <c r="AJ114" s="144"/>
      <c r="AK114" s="56"/>
    </row>
    <row r="115" spans="1:37" ht="25.5" customHeight="1">
      <c r="A115" s="140" cm="1">
        <f t="array" ref="A115">A114+1</f>
        <v>100</v>
      </c>
      <c r="B115" s="79" t="s">
        <v>231</v>
      </c>
      <c r="C115" s="97">
        <v>1</v>
      </c>
      <c r="D115" s="79" t="s">
        <v>220</v>
      </c>
      <c r="E115" s="79" t="s">
        <v>232</v>
      </c>
      <c r="F115" s="79"/>
      <c r="G115" s="80" t="s">
        <v>222</v>
      </c>
      <c r="H115" s="81">
        <v>42852</v>
      </c>
      <c r="I115" s="82">
        <v>42</v>
      </c>
      <c r="J115" s="98"/>
      <c r="K115" s="100">
        <v>0.4</v>
      </c>
      <c r="L115" s="84">
        <v>46099</v>
      </c>
      <c r="M115" s="85">
        <v>46127</v>
      </c>
      <c r="N115" s="86" cm="1">
        <f t="array" ref="N115">WORKDAY(M115,5)</f>
        <v>46134</v>
      </c>
      <c r="O115" s="87">
        <v>0</v>
      </c>
      <c r="P115" s="88">
        <v>0</v>
      </c>
      <c r="Q115" s="89">
        <v>46113</v>
      </c>
      <c r="R115" s="96">
        <v>46136</v>
      </c>
      <c r="S115" s="86" cm="1">
        <f t="array" ref="S115">WORKDAY(R115,10)</f>
        <v>46150</v>
      </c>
      <c r="T115" s="87">
        <v>0</v>
      </c>
      <c r="U115" s="91" t="s">
        <v>114</v>
      </c>
      <c r="V115" s="92">
        <v>0</v>
      </c>
      <c r="W115" s="93" cm="1">
        <f t="array" ref="W115">WORKDAY(X115,-20)</f>
        <v>46155</v>
      </c>
      <c r="X115" s="90">
        <v>46183</v>
      </c>
      <c r="Y115" s="88">
        <v>0</v>
      </c>
      <c r="Z115" s="93">
        <v>46192</v>
      </c>
      <c r="AA115" s="90">
        <v>46248</v>
      </c>
      <c r="AB115" s="88">
        <v>0</v>
      </c>
      <c r="AC115" s="79" t="s">
        <v>49</v>
      </c>
      <c r="AD115" s="79" t="s">
        <v>49</v>
      </c>
      <c r="AE115" s="90"/>
      <c r="AF115" s="88">
        <v>0</v>
      </c>
      <c r="AG115" s="93" cm="1">
        <f t="array" ref="AG115">WORKDAY(AA115,2)</f>
        <v>46252</v>
      </c>
      <c r="AH115" s="90" cm="1">
        <f t="array" ref="AH115">WORKDAY(AG115,1)</f>
        <v>46253</v>
      </c>
      <c r="AI115" s="86" cm="1">
        <f t="array" ref="AI115">WORKDAY(AH115,1)</f>
        <v>46254</v>
      </c>
      <c r="AJ115" s="144"/>
      <c r="AK115" s="56"/>
    </row>
    <row r="116" spans="1:37" ht="25.5" customHeight="1">
      <c r="A116" s="140" cm="1">
        <f t="array" ref="A116">A115+1</f>
        <v>101</v>
      </c>
      <c r="B116" s="79" t="s">
        <v>1246</v>
      </c>
      <c r="C116" s="97">
        <v>1</v>
      </c>
      <c r="D116" s="79" t="s">
        <v>1208</v>
      </c>
      <c r="E116" s="79" t="s">
        <v>1247</v>
      </c>
      <c r="F116" s="79" t="s">
        <v>78</v>
      </c>
      <c r="G116" s="80" t="s">
        <v>1122</v>
      </c>
      <c r="H116" s="81">
        <v>67516</v>
      </c>
      <c r="I116" s="109"/>
      <c r="J116" s="110">
        <v>56</v>
      </c>
      <c r="K116" s="100">
        <v>0</v>
      </c>
      <c r="L116" s="105" cm="1">
        <f t="array" ref="L116">WORKDAY(M116,-10)</f>
        <v>46113</v>
      </c>
      <c r="M116" s="85">
        <v>46127</v>
      </c>
      <c r="N116" s="86" cm="1">
        <f t="array" ref="N116">WORKDAY(M116,10)</f>
        <v>46141</v>
      </c>
      <c r="O116" s="87">
        <v>0</v>
      </c>
      <c r="P116" s="88">
        <v>0</v>
      </c>
      <c r="Q116" s="89">
        <v>46113</v>
      </c>
      <c r="R116" s="96">
        <v>46136</v>
      </c>
      <c r="S116" s="86" cm="1">
        <f t="array" ref="S116">WORKDAY(R116,7)</f>
        <v>46147</v>
      </c>
      <c r="T116" s="87">
        <v>0</v>
      </c>
      <c r="U116" s="91" t="s">
        <v>105</v>
      </c>
      <c r="V116" s="92">
        <v>0</v>
      </c>
      <c r="W116" s="93" cm="1">
        <f t="array" ref="W116">WORKDAY(X116,-20)</f>
        <v>46167</v>
      </c>
      <c r="X116" s="90">
        <v>46195</v>
      </c>
      <c r="Y116" s="88">
        <v>0</v>
      </c>
      <c r="Z116" s="93">
        <v>46198</v>
      </c>
      <c r="AA116" s="90">
        <v>46248</v>
      </c>
      <c r="AB116" s="88">
        <v>0</v>
      </c>
      <c r="AC116" s="79" t="s">
        <v>49</v>
      </c>
      <c r="AD116" s="79" t="s">
        <v>49</v>
      </c>
      <c r="AE116" s="90"/>
      <c r="AF116" s="88">
        <v>0</v>
      </c>
      <c r="AG116" s="93" cm="1">
        <f t="array" ref="AG116">WORKDAY(AA116,2)</f>
        <v>46252</v>
      </c>
      <c r="AH116" s="90" cm="1">
        <f t="array" ref="AH116">WORKDAY(AG116,1)</f>
        <v>46253</v>
      </c>
      <c r="AI116" s="86" cm="1">
        <f t="array" ref="AI116">WORKDAY(AH116,1)</f>
        <v>46254</v>
      </c>
      <c r="AJ116" s="144"/>
      <c r="AK116" s="56"/>
    </row>
    <row r="117" spans="1:37" ht="25.5" customHeight="1">
      <c r="A117" s="140" cm="1">
        <f t="array" ref="A117">A116+1</f>
        <v>102</v>
      </c>
      <c r="B117" s="79" t="s">
        <v>233</v>
      </c>
      <c r="C117" s="97">
        <v>1</v>
      </c>
      <c r="D117" s="79" t="s">
        <v>220</v>
      </c>
      <c r="E117" s="79" t="s">
        <v>234</v>
      </c>
      <c r="F117" s="79"/>
      <c r="G117" s="80" t="s">
        <v>222</v>
      </c>
      <c r="H117" s="81">
        <v>42852</v>
      </c>
      <c r="I117" s="82">
        <v>43</v>
      </c>
      <c r="J117" s="98"/>
      <c r="K117" s="100">
        <v>0.4</v>
      </c>
      <c r="L117" s="84">
        <v>46099</v>
      </c>
      <c r="M117" s="85">
        <v>46127</v>
      </c>
      <c r="N117" s="86" cm="1">
        <f t="array" ref="N117">WORKDAY(M117,5)</f>
        <v>46134</v>
      </c>
      <c r="O117" s="87">
        <v>0</v>
      </c>
      <c r="P117" s="88">
        <v>0</v>
      </c>
      <c r="Q117" s="89">
        <v>46113</v>
      </c>
      <c r="R117" s="96">
        <v>46136</v>
      </c>
      <c r="S117" s="86" cm="1">
        <f t="array" ref="S117">WORKDAY(R117,10)</f>
        <v>46150</v>
      </c>
      <c r="T117" s="87">
        <v>0</v>
      </c>
      <c r="U117" s="91" t="s">
        <v>114</v>
      </c>
      <c r="V117" s="92">
        <v>0</v>
      </c>
      <c r="W117" s="93" cm="1">
        <f t="array" ref="W117">WORKDAY(X117,-20)</f>
        <v>46157</v>
      </c>
      <c r="X117" s="90">
        <v>46185</v>
      </c>
      <c r="Y117" s="88">
        <v>0</v>
      </c>
      <c r="Z117" s="93">
        <v>46195</v>
      </c>
      <c r="AA117" s="90">
        <v>46251</v>
      </c>
      <c r="AB117" s="88">
        <v>0</v>
      </c>
      <c r="AC117" s="79" t="s">
        <v>49</v>
      </c>
      <c r="AD117" s="79" t="s">
        <v>49</v>
      </c>
      <c r="AE117" s="90"/>
      <c r="AF117" s="88">
        <v>0</v>
      </c>
      <c r="AG117" s="93" cm="1">
        <f t="array" ref="AG117">WORKDAY(AA117,2)</f>
        <v>46253</v>
      </c>
      <c r="AH117" s="90" cm="1">
        <f t="array" ref="AH117">WORKDAY(AG117,1)</f>
        <v>46254</v>
      </c>
      <c r="AI117" s="86" cm="1">
        <f t="array" ref="AI117">WORKDAY(AH117,1)</f>
        <v>46255</v>
      </c>
      <c r="AJ117" s="144"/>
      <c r="AK117" s="56"/>
    </row>
    <row r="118" spans="1:37" ht="25.5" customHeight="1">
      <c r="A118" s="140" cm="1">
        <f t="array" ref="A118">A117+1</f>
        <v>103</v>
      </c>
      <c r="B118" s="79" t="s">
        <v>1248</v>
      </c>
      <c r="C118" s="97">
        <v>1</v>
      </c>
      <c r="D118" s="79" t="s">
        <v>1249</v>
      </c>
      <c r="E118" s="79" t="s">
        <v>1250</v>
      </c>
      <c r="F118" s="79" t="s">
        <v>78</v>
      </c>
      <c r="G118" s="80" t="s">
        <v>1251</v>
      </c>
      <c r="H118" s="81">
        <v>93940</v>
      </c>
      <c r="I118" s="109"/>
      <c r="J118" s="110">
        <v>57</v>
      </c>
      <c r="K118" s="100">
        <v>0</v>
      </c>
      <c r="L118" s="105" cm="1">
        <f t="array" ref="L118">WORKDAY(M118,-10)</f>
        <v>46118</v>
      </c>
      <c r="M118" s="85">
        <v>46132</v>
      </c>
      <c r="N118" s="86" cm="1">
        <f t="array" ref="N118">WORKDAY(M118,10)</f>
        <v>46146</v>
      </c>
      <c r="O118" s="87">
        <v>0</v>
      </c>
      <c r="P118" s="88">
        <v>0</v>
      </c>
      <c r="Q118" s="89">
        <v>46113</v>
      </c>
      <c r="R118" s="96">
        <v>46136</v>
      </c>
      <c r="S118" s="86" cm="1">
        <f t="array" ref="S118">WORKDAY(R118,7)</f>
        <v>46147</v>
      </c>
      <c r="T118" s="87">
        <v>0</v>
      </c>
      <c r="U118" s="91" t="s">
        <v>105</v>
      </c>
      <c r="V118" s="92">
        <v>0</v>
      </c>
      <c r="W118" s="93" cm="1">
        <f t="array" ref="W118">WORKDAY(X118,-20)</f>
        <v>46168</v>
      </c>
      <c r="X118" s="90">
        <v>46196</v>
      </c>
      <c r="Y118" s="88">
        <v>0</v>
      </c>
      <c r="Z118" s="93">
        <v>46199</v>
      </c>
      <c r="AA118" s="90">
        <v>46251</v>
      </c>
      <c r="AB118" s="88">
        <v>0</v>
      </c>
      <c r="AC118" s="79" t="s">
        <v>49</v>
      </c>
      <c r="AD118" s="79" t="s">
        <v>49</v>
      </c>
      <c r="AE118" s="90"/>
      <c r="AF118" s="88">
        <v>0</v>
      </c>
      <c r="AG118" s="93" cm="1">
        <f t="array" ref="AG118">WORKDAY(AA118,2)</f>
        <v>46253</v>
      </c>
      <c r="AH118" s="90" cm="1">
        <f t="array" ref="AH118">WORKDAY(AG118,1)</f>
        <v>46254</v>
      </c>
      <c r="AI118" s="86" cm="1">
        <f t="array" ref="AI118">WORKDAY(AH118,1)</f>
        <v>46255</v>
      </c>
      <c r="AJ118" s="144"/>
      <c r="AK118" s="56"/>
    </row>
    <row r="119" spans="1:37" ht="25.5" customHeight="1">
      <c r="A119" s="140" cm="1">
        <f t="array" ref="A119">A118+1</f>
        <v>104</v>
      </c>
      <c r="B119" s="79" t="s">
        <v>235</v>
      </c>
      <c r="C119" s="97">
        <v>1</v>
      </c>
      <c r="D119" s="79" t="s">
        <v>236</v>
      </c>
      <c r="E119" s="79" t="s">
        <v>237</v>
      </c>
      <c r="F119" s="79"/>
      <c r="G119" s="80" t="s">
        <v>222</v>
      </c>
      <c r="H119" s="81">
        <v>42852</v>
      </c>
      <c r="I119" s="82">
        <v>44</v>
      </c>
      <c r="J119" s="98"/>
      <c r="K119" s="100">
        <v>0.4</v>
      </c>
      <c r="L119" s="84">
        <v>46099</v>
      </c>
      <c r="M119" s="85">
        <v>46127</v>
      </c>
      <c r="N119" s="86" cm="1">
        <f t="array" ref="N119">WORKDAY(M119,5)</f>
        <v>46134</v>
      </c>
      <c r="O119" s="87">
        <v>0</v>
      </c>
      <c r="P119" s="88">
        <v>0</v>
      </c>
      <c r="Q119" s="89">
        <v>46113</v>
      </c>
      <c r="R119" s="96">
        <v>46136</v>
      </c>
      <c r="S119" s="86" cm="1">
        <f t="array" ref="S119">WORKDAY(R119,10)</f>
        <v>46150</v>
      </c>
      <c r="T119" s="87">
        <v>0</v>
      </c>
      <c r="U119" s="91" t="s">
        <v>114</v>
      </c>
      <c r="V119" s="92">
        <v>0</v>
      </c>
      <c r="W119" s="93" cm="1">
        <f t="array" ref="W119">WORKDAY(X119,-20)</f>
        <v>46161</v>
      </c>
      <c r="X119" s="90">
        <v>46189</v>
      </c>
      <c r="Y119" s="88">
        <v>0</v>
      </c>
      <c r="Z119" s="93">
        <v>46196</v>
      </c>
      <c r="AA119" s="90">
        <v>46252</v>
      </c>
      <c r="AB119" s="88">
        <v>0</v>
      </c>
      <c r="AC119" s="79" t="s">
        <v>49</v>
      </c>
      <c r="AD119" s="79" t="s">
        <v>49</v>
      </c>
      <c r="AE119" s="90"/>
      <c r="AF119" s="88">
        <v>0</v>
      </c>
      <c r="AG119" s="93" cm="1">
        <f t="array" ref="AG119">WORKDAY(AA119,2)</f>
        <v>46254</v>
      </c>
      <c r="AH119" s="90" cm="1">
        <f t="array" ref="AH119">WORKDAY(AG119,1)</f>
        <v>46255</v>
      </c>
      <c r="AI119" s="86" cm="1">
        <f t="array" ref="AI119">WORKDAY(AH119,1)</f>
        <v>46258</v>
      </c>
      <c r="AJ119" s="144"/>
      <c r="AK119" s="56"/>
    </row>
    <row r="120" spans="1:37" ht="25.5" customHeight="1">
      <c r="A120" s="140" cm="1">
        <f t="array" ref="A120">A119+1</f>
        <v>105</v>
      </c>
      <c r="B120" s="79" t="s">
        <v>238</v>
      </c>
      <c r="C120" s="97">
        <v>1</v>
      </c>
      <c r="D120" s="79" t="s">
        <v>236</v>
      </c>
      <c r="E120" s="79" t="s">
        <v>239</v>
      </c>
      <c r="F120" s="79"/>
      <c r="G120" s="80" t="s">
        <v>222</v>
      </c>
      <c r="H120" s="81">
        <v>42852</v>
      </c>
      <c r="I120" s="82">
        <v>45</v>
      </c>
      <c r="J120" s="98"/>
      <c r="K120" s="100">
        <v>0.35</v>
      </c>
      <c r="L120" s="84">
        <v>46099</v>
      </c>
      <c r="M120" s="85">
        <v>46127</v>
      </c>
      <c r="N120" s="86" cm="1">
        <f t="array" ref="N120">WORKDAY(M120,5)</f>
        <v>46134</v>
      </c>
      <c r="O120" s="87">
        <v>0</v>
      </c>
      <c r="P120" s="88">
        <v>0</v>
      </c>
      <c r="Q120" s="89">
        <v>46113</v>
      </c>
      <c r="R120" s="96">
        <v>46136</v>
      </c>
      <c r="S120" s="86" cm="1">
        <f t="array" ref="S120">WORKDAY(R120,10)</f>
        <v>46150</v>
      </c>
      <c r="T120" s="87">
        <v>0</v>
      </c>
      <c r="U120" s="91" t="s">
        <v>114</v>
      </c>
      <c r="V120" s="92">
        <v>0</v>
      </c>
      <c r="W120" s="93" cm="1">
        <f t="array" ref="W120">WORKDAY(X120,-20)</f>
        <v>46163</v>
      </c>
      <c r="X120" s="90">
        <v>46191</v>
      </c>
      <c r="Y120" s="88">
        <v>0</v>
      </c>
      <c r="Z120" s="93">
        <v>46196</v>
      </c>
      <c r="AA120" s="90">
        <v>46252</v>
      </c>
      <c r="AB120" s="88">
        <v>0</v>
      </c>
      <c r="AC120" s="79" t="s">
        <v>49</v>
      </c>
      <c r="AD120" s="79" t="s">
        <v>49</v>
      </c>
      <c r="AE120" s="90"/>
      <c r="AF120" s="88">
        <v>0</v>
      </c>
      <c r="AG120" s="93" cm="1">
        <f t="array" ref="AG120">WORKDAY(AA120,2)</f>
        <v>46254</v>
      </c>
      <c r="AH120" s="90" cm="1">
        <f t="array" ref="AH120">WORKDAY(AG120,1)</f>
        <v>46255</v>
      </c>
      <c r="AI120" s="86" cm="1">
        <f t="array" ref="AI120">WORKDAY(AH120,1)</f>
        <v>46258</v>
      </c>
      <c r="AJ120" s="144"/>
      <c r="AK120" s="56"/>
    </row>
    <row r="121" spans="1:37" ht="25.5" customHeight="1">
      <c r="A121" s="140" cm="1">
        <f t="array" ref="A121">A120+1</f>
        <v>106</v>
      </c>
      <c r="B121" s="79" t="s">
        <v>1252</v>
      </c>
      <c r="C121" s="97">
        <v>1</v>
      </c>
      <c r="D121" s="79" t="s">
        <v>1253</v>
      </c>
      <c r="E121" s="79" t="s">
        <v>1254</v>
      </c>
      <c r="F121" s="79" t="s">
        <v>78</v>
      </c>
      <c r="G121" s="80" t="s">
        <v>1251</v>
      </c>
      <c r="H121" s="81">
        <v>93940</v>
      </c>
      <c r="I121" s="109"/>
      <c r="J121" s="110">
        <v>58</v>
      </c>
      <c r="K121" s="100">
        <v>0</v>
      </c>
      <c r="L121" s="105" cm="1">
        <f t="array" ref="L121">WORKDAY(M121,-10)</f>
        <v>46118</v>
      </c>
      <c r="M121" s="85">
        <v>46132</v>
      </c>
      <c r="N121" s="86" cm="1">
        <f t="array" ref="N121">WORKDAY(M121,10)</f>
        <v>46146</v>
      </c>
      <c r="O121" s="87">
        <v>0</v>
      </c>
      <c r="P121" s="88">
        <v>0</v>
      </c>
      <c r="Q121" s="89">
        <v>46113</v>
      </c>
      <c r="R121" s="96">
        <v>46136</v>
      </c>
      <c r="S121" s="86" cm="1">
        <f t="array" ref="S121">WORKDAY(R121,7)</f>
        <v>46147</v>
      </c>
      <c r="T121" s="87">
        <v>0</v>
      </c>
      <c r="U121" s="91" t="s">
        <v>105</v>
      </c>
      <c r="V121" s="92">
        <v>0</v>
      </c>
      <c r="W121" s="93" cm="1">
        <f t="array" ref="W121">WORKDAY(X121,-20)</f>
        <v>46169</v>
      </c>
      <c r="X121" s="90">
        <v>46197</v>
      </c>
      <c r="Y121" s="88">
        <v>0</v>
      </c>
      <c r="Z121" s="93">
        <v>46202</v>
      </c>
      <c r="AA121" s="90">
        <v>46252</v>
      </c>
      <c r="AB121" s="88">
        <v>0</v>
      </c>
      <c r="AC121" s="79" t="s">
        <v>49</v>
      </c>
      <c r="AD121" s="79" t="s">
        <v>49</v>
      </c>
      <c r="AE121" s="90"/>
      <c r="AF121" s="88">
        <v>0</v>
      </c>
      <c r="AG121" s="93" cm="1">
        <f t="array" ref="AG121">WORKDAY(AA121,2)</f>
        <v>46254</v>
      </c>
      <c r="AH121" s="90" cm="1">
        <f t="array" ref="AH121">WORKDAY(AG121,1)</f>
        <v>46255</v>
      </c>
      <c r="AI121" s="86" cm="1">
        <f t="array" ref="AI121">WORKDAY(AH121,1)</f>
        <v>46258</v>
      </c>
      <c r="AJ121" s="144"/>
      <c r="AK121" s="56"/>
    </row>
    <row r="122" spans="1:37" ht="25.5" customHeight="1">
      <c r="A122" s="140" cm="1">
        <f t="array" ref="A122">A121+1</f>
        <v>107</v>
      </c>
      <c r="B122" s="79" t="s">
        <v>240</v>
      </c>
      <c r="C122" s="97">
        <v>1</v>
      </c>
      <c r="D122" s="79" t="s">
        <v>236</v>
      </c>
      <c r="E122" s="79" t="s">
        <v>241</v>
      </c>
      <c r="F122" s="79"/>
      <c r="G122" s="80" t="s">
        <v>222</v>
      </c>
      <c r="H122" s="81">
        <v>42852</v>
      </c>
      <c r="I122" s="82">
        <v>47</v>
      </c>
      <c r="J122" s="98"/>
      <c r="K122" s="100">
        <v>0.35</v>
      </c>
      <c r="L122" s="84">
        <v>46099</v>
      </c>
      <c r="M122" s="85">
        <v>46127</v>
      </c>
      <c r="N122" s="86" cm="1">
        <f t="array" ref="N122">WORKDAY(M122,5)</f>
        <v>46134</v>
      </c>
      <c r="O122" s="87">
        <v>0</v>
      </c>
      <c r="P122" s="88">
        <v>0</v>
      </c>
      <c r="Q122" s="89">
        <v>46113</v>
      </c>
      <c r="R122" s="96">
        <v>46136</v>
      </c>
      <c r="S122" s="86" cm="1">
        <f t="array" ref="S122">WORKDAY(R122,10)</f>
        <v>46150</v>
      </c>
      <c r="T122" s="87">
        <v>0</v>
      </c>
      <c r="U122" s="91" t="s">
        <v>114</v>
      </c>
      <c r="V122" s="92">
        <v>0</v>
      </c>
      <c r="W122" s="93" cm="1">
        <f t="array" ref="W122">WORKDAY(X122,-20)</f>
        <v>46167</v>
      </c>
      <c r="X122" s="90">
        <v>46195</v>
      </c>
      <c r="Y122" s="88">
        <v>0</v>
      </c>
      <c r="Z122" s="93">
        <v>46202</v>
      </c>
      <c r="AA122" s="90">
        <v>46253</v>
      </c>
      <c r="AB122" s="88">
        <v>0</v>
      </c>
      <c r="AC122" s="79" t="s">
        <v>49</v>
      </c>
      <c r="AD122" s="79" t="s">
        <v>49</v>
      </c>
      <c r="AE122" s="90"/>
      <c r="AF122" s="88">
        <v>0</v>
      </c>
      <c r="AG122" s="93" cm="1">
        <f t="array" ref="AG122">WORKDAY(AA122,2)</f>
        <v>46255</v>
      </c>
      <c r="AH122" s="90" cm="1">
        <f t="array" ref="AH122">WORKDAY(AG122,1)</f>
        <v>46258</v>
      </c>
      <c r="AI122" s="86" cm="1">
        <f t="array" ref="AI122">WORKDAY(AH122,1)</f>
        <v>46259</v>
      </c>
      <c r="AJ122" s="144"/>
      <c r="AK122" s="56"/>
    </row>
    <row r="123" spans="1:37" ht="25.5" customHeight="1">
      <c r="A123" s="140" cm="1">
        <f t="array" ref="A123">A122+1</f>
        <v>108</v>
      </c>
      <c r="B123" s="79" t="s">
        <v>242</v>
      </c>
      <c r="C123" s="97">
        <v>1</v>
      </c>
      <c r="D123" s="79" t="s">
        <v>236</v>
      </c>
      <c r="E123" s="79" t="s">
        <v>243</v>
      </c>
      <c r="F123" s="79"/>
      <c r="G123" s="80" t="s">
        <v>222</v>
      </c>
      <c r="H123" s="81">
        <v>42852</v>
      </c>
      <c r="I123" s="82">
        <v>48</v>
      </c>
      <c r="J123" s="98"/>
      <c r="K123" s="100">
        <v>0.35</v>
      </c>
      <c r="L123" s="84">
        <v>46099</v>
      </c>
      <c r="M123" s="85">
        <v>46127</v>
      </c>
      <c r="N123" s="86" cm="1">
        <f t="array" ref="N123">WORKDAY(M123,5)</f>
        <v>46134</v>
      </c>
      <c r="O123" s="87">
        <v>0</v>
      </c>
      <c r="P123" s="88">
        <v>0</v>
      </c>
      <c r="Q123" s="89">
        <v>46113</v>
      </c>
      <c r="R123" s="96">
        <v>46136</v>
      </c>
      <c r="S123" s="86" cm="1">
        <f t="array" ref="S123">WORKDAY(R123,10)</f>
        <v>46150</v>
      </c>
      <c r="T123" s="87">
        <v>0</v>
      </c>
      <c r="U123" s="91" t="s">
        <v>114</v>
      </c>
      <c r="V123" s="92">
        <v>0</v>
      </c>
      <c r="W123" s="93" cm="1">
        <f t="array" ref="W123">WORKDAY(X123,-20)</f>
        <v>46168</v>
      </c>
      <c r="X123" s="90">
        <v>46196</v>
      </c>
      <c r="Y123" s="88">
        <v>0</v>
      </c>
      <c r="Z123" s="93">
        <v>46202</v>
      </c>
      <c r="AA123" s="90">
        <v>46253</v>
      </c>
      <c r="AB123" s="88">
        <v>0</v>
      </c>
      <c r="AC123" s="79" t="s">
        <v>49</v>
      </c>
      <c r="AD123" s="79" t="s">
        <v>49</v>
      </c>
      <c r="AE123" s="90"/>
      <c r="AF123" s="88">
        <v>0</v>
      </c>
      <c r="AG123" s="93" cm="1">
        <f t="array" ref="AG123">WORKDAY(AA123,2)</f>
        <v>46255</v>
      </c>
      <c r="AH123" s="90" cm="1">
        <f t="array" ref="AH123">WORKDAY(AG123,1)</f>
        <v>46258</v>
      </c>
      <c r="AI123" s="86" cm="1">
        <f t="array" ref="AI123">WORKDAY(AH123,1)</f>
        <v>46259</v>
      </c>
      <c r="AJ123" s="144"/>
      <c r="AK123" s="56"/>
    </row>
    <row r="124" spans="1:37" ht="25.5" customHeight="1">
      <c r="A124" s="140" cm="1">
        <f t="array" ref="A124">A123+1</f>
        <v>109</v>
      </c>
      <c r="B124" s="79" t="s">
        <v>1255</v>
      </c>
      <c r="C124" s="97">
        <v>1</v>
      </c>
      <c r="D124" s="79" t="s">
        <v>1253</v>
      </c>
      <c r="E124" s="79" t="s">
        <v>1256</v>
      </c>
      <c r="F124" s="79" t="s">
        <v>78</v>
      </c>
      <c r="G124" s="80" t="s">
        <v>1251</v>
      </c>
      <c r="H124" s="81">
        <v>93940</v>
      </c>
      <c r="I124" s="109"/>
      <c r="J124" s="110">
        <v>59</v>
      </c>
      <c r="K124" s="100">
        <v>0</v>
      </c>
      <c r="L124" s="105" cm="1">
        <f t="array" ref="L124">WORKDAY(M124,-10)</f>
        <v>46118</v>
      </c>
      <c r="M124" s="85">
        <v>46132</v>
      </c>
      <c r="N124" s="86" cm="1">
        <f t="array" ref="N124">WORKDAY(M124,10)</f>
        <v>46146</v>
      </c>
      <c r="O124" s="87">
        <v>0</v>
      </c>
      <c r="P124" s="88">
        <v>0</v>
      </c>
      <c r="Q124" s="89">
        <v>46113</v>
      </c>
      <c r="R124" s="96">
        <v>46136</v>
      </c>
      <c r="S124" s="86" cm="1">
        <f t="array" ref="S124">WORKDAY(R124,7)</f>
        <v>46147</v>
      </c>
      <c r="T124" s="87">
        <v>0</v>
      </c>
      <c r="U124" s="91" t="s">
        <v>105</v>
      </c>
      <c r="V124" s="92">
        <v>0</v>
      </c>
      <c r="W124" s="93" cm="1">
        <f t="array" ref="W124">WORKDAY(X124,-20)</f>
        <v>46170</v>
      </c>
      <c r="X124" s="90">
        <v>46198</v>
      </c>
      <c r="Y124" s="88">
        <v>0</v>
      </c>
      <c r="Z124" s="93">
        <v>46203</v>
      </c>
      <c r="AA124" s="90">
        <v>46253</v>
      </c>
      <c r="AB124" s="88">
        <v>0</v>
      </c>
      <c r="AC124" s="79" t="s">
        <v>49</v>
      </c>
      <c r="AD124" s="79" t="s">
        <v>49</v>
      </c>
      <c r="AE124" s="90"/>
      <c r="AF124" s="88">
        <v>0</v>
      </c>
      <c r="AG124" s="93" cm="1">
        <f t="array" ref="AG124">WORKDAY(AA124,2)</f>
        <v>46255</v>
      </c>
      <c r="AH124" s="90" cm="1">
        <f t="array" ref="AH124">WORKDAY(AG124,1)</f>
        <v>46258</v>
      </c>
      <c r="AI124" s="86" cm="1">
        <f t="array" ref="AI124">WORKDAY(AH124,1)</f>
        <v>46259</v>
      </c>
      <c r="AJ124" s="144"/>
      <c r="AK124" s="56"/>
    </row>
    <row r="125" spans="1:37" ht="25.5" customHeight="1">
      <c r="A125" s="140" cm="1">
        <f t="array" ref="A125">A124+1</f>
        <v>110</v>
      </c>
      <c r="B125" s="79" t="s">
        <v>244</v>
      </c>
      <c r="C125" s="97">
        <v>1</v>
      </c>
      <c r="D125" s="79" t="s">
        <v>236</v>
      </c>
      <c r="E125" s="79" t="s">
        <v>245</v>
      </c>
      <c r="F125" s="79"/>
      <c r="G125" s="80" t="s">
        <v>222</v>
      </c>
      <c r="H125" s="81">
        <v>42852</v>
      </c>
      <c r="I125" s="82">
        <v>49</v>
      </c>
      <c r="J125" s="98"/>
      <c r="K125" s="100">
        <v>0.35</v>
      </c>
      <c r="L125" s="84">
        <v>46099</v>
      </c>
      <c r="M125" s="85">
        <v>46127</v>
      </c>
      <c r="N125" s="86" cm="1">
        <f t="array" ref="N125">WORKDAY(M125,5)</f>
        <v>46134</v>
      </c>
      <c r="O125" s="87">
        <v>0</v>
      </c>
      <c r="P125" s="88">
        <v>0</v>
      </c>
      <c r="Q125" s="89">
        <v>46113</v>
      </c>
      <c r="R125" s="96">
        <v>46136</v>
      </c>
      <c r="S125" s="86" cm="1">
        <f t="array" ref="S125">WORKDAY(R125,10)</f>
        <v>46150</v>
      </c>
      <c r="T125" s="87">
        <v>0</v>
      </c>
      <c r="U125" s="91" t="s">
        <v>114</v>
      </c>
      <c r="V125" s="92">
        <v>0</v>
      </c>
      <c r="W125" s="93" cm="1">
        <f t="array" ref="W125">WORKDAY(X125,-20)</f>
        <v>46169</v>
      </c>
      <c r="X125" s="90">
        <v>46197</v>
      </c>
      <c r="Y125" s="88">
        <v>0</v>
      </c>
      <c r="Z125" s="93">
        <v>46203</v>
      </c>
      <c r="AA125" s="90">
        <v>46254</v>
      </c>
      <c r="AB125" s="88">
        <v>0</v>
      </c>
      <c r="AC125" s="79" t="s">
        <v>49</v>
      </c>
      <c r="AD125" s="79" t="s">
        <v>49</v>
      </c>
      <c r="AE125" s="90"/>
      <c r="AF125" s="88">
        <v>0</v>
      </c>
      <c r="AG125" s="93" cm="1">
        <f t="array" ref="AG125">WORKDAY(AA125,2)</f>
        <v>46258</v>
      </c>
      <c r="AH125" s="90" cm="1">
        <f t="array" ref="AH125">WORKDAY(AG125,1)</f>
        <v>46259</v>
      </c>
      <c r="AI125" s="86" cm="1">
        <f t="array" ref="AI125">WORKDAY(AH125,1)</f>
        <v>46260</v>
      </c>
      <c r="AJ125" s="144"/>
      <c r="AK125" s="56"/>
    </row>
    <row r="126" spans="1:37" ht="25.5" customHeight="1">
      <c r="A126" s="140" cm="1">
        <f t="array" ref="A126">A125+1</f>
        <v>111</v>
      </c>
      <c r="B126" s="79" t="s">
        <v>246</v>
      </c>
      <c r="C126" s="97">
        <v>1</v>
      </c>
      <c r="D126" s="79" t="s">
        <v>236</v>
      </c>
      <c r="E126" s="79" t="s">
        <v>247</v>
      </c>
      <c r="F126" s="79"/>
      <c r="G126" s="80" t="s">
        <v>222</v>
      </c>
      <c r="H126" s="81">
        <v>42852</v>
      </c>
      <c r="I126" s="82">
        <v>50</v>
      </c>
      <c r="J126" s="98"/>
      <c r="K126" s="100">
        <v>0.35</v>
      </c>
      <c r="L126" s="84">
        <v>46099</v>
      </c>
      <c r="M126" s="85">
        <v>46127</v>
      </c>
      <c r="N126" s="86" cm="1">
        <f t="array" ref="N126">WORKDAY(M126,5)</f>
        <v>46134</v>
      </c>
      <c r="O126" s="87">
        <v>0</v>
      </c>
      <c r="P126" s="88">
        <v>0</v>
      </c>
      <c r="Q126" s="89">
        <v>46113</v>
      </c>
      <c r="R126" s="96">
        <v>46136</v>
      </c>
      <c r="S126" s="86" cm="1">
        <f t="array" ref="S126">WORKDAY(R126,10)</f>
        <v>46150</v>
      </c>
      <c r="T126" s="87">
        <v>0</v>
      </c>
      <c r="U126" s="91" t="s">
        <v>114</v>
      </c>
      <c r="V126" s="92">
        <v>0</v>
      </c>
      <c r="W126" s="93" cm="1">
        <f t="array" ref="W126">WORKDAY(X126,-20)</f>
        <v>46176</v>
      </c>
      <c r="X126" s="80" t="s">
        <v>248</v>
      </c>
      <c r="Y126" s="88">
        <v>0</v>
      </c>
      <c r="Z126" s="93">
        <v>46205</v>
      </c>
      <c r="AA126" s="90">
        <v>46254</v>
      </c>
      <c r="AB126" s="88">
        <v>0</v>
      </c>
      <c r="AC126" s="79" t="s">
        <v>49</v>
      </c>
      <c r="AD126" s="79" t="s">
        <v>49</v>
      </c>
      <c r="AE126" s="90"/>
      <c r="AF126" s="88">
        <v>0</v>
      </c>
      <c r="AG126" s="93" cm="1">
        <f t="array" ref="AG126">WORKDAY(AA126,2)</f>
        <v>46258</v>
      </c>
      <c r="AH126" s="90" cm="1">
        <f t="array" ref="AH126">WORKDAY(AG126,1)</f>
        <v>46259</v>
      </c>
      <c r="AI126" s="86" cm="1">
        <f t="array" ref="AI126">WORKDAY(AH126,1)</f>
        <v>46260</v>
      </c>
      <c r="AJ126" s="144"/>
      <c r="AK126" s="56"/>
    </row>
    <row r="127" spans="1:37" ht="25.5" customHeight="1">
      <c r="A127" s="140" cm="1">
        <f t="array" ref="A127">A126+1</f>
        <v>112</v>
      </c>
      <c r="B127" s="79" t="s">
        <v>1257</v>
      </c>
      <c r="C127" s="97">
        <v>1</v>
      </c>
      <c r="D127" s="79" t="s">
        <v>1253</v>
      </c>
      <c r="E127" s="79" t="s">
        <v>1258</v>
      </c>
      <c r="F127" s="79" t="s">
        <v>78</v>
      </c>
      <c r="G127" s="80" t="s">
        <v>1251</v>
      </c>
      <c r="H127" s="81">
        <v>93940</v>
      </c>
      <c r="I127" s="109"/>
      <c r="J127" s="110">
        <v>60</v>
      </c>
      <c r="K127" s="100">
        <v>0</v>
      </c>
      <c r="L127" s="105" cm="1">
        <f t="array" ref="L127">WORKDAY(M127,-10)</f>
        <v>46118</v>
      </c>
      <c r="M127" s="85">
        <v>46132</v>
      </c>
      <c r="N127" s="86" cm="1">
        <f t="array" ref="N127">WORKDAY(M127,10)</f>
        <v>46146</v>
      </c>
      <c r="O127" s="87">
        <v>0</v>
      </c>
      <c r="P127" s="88">
        <v>0</v>
      </c>
      <c r="Q127" s="89">
        <v>46113</v>
      </c>
      <c r="R127" s="96">
        <v>46136</v>
      </c>
      <c r="S127" s="86" cm="1">
        <f t="array" ref="S127">WORKDAY(R127,7)</f>
        <v>46147</v>
      </c>
      <c r="T127" s="87">
        <v>0</v>
      </c>
      <c r="U127" s="91" t="s">
        <v>105</v>
      </c>
      <c r="V127" s="92">
        <v>0</v>
      </c>
      <c r="W127" s="93" cm="1">
        <f t="array" ref="W127">WORKDAY(X127,-20)</f>
        <v>46171</v>
      </c>
      <c r="X127" s="90">
        <v>46199</v>
      </c>
      <c r="Y127" s="88">
        <v>0</v>
      </c>
      <c r="Z127" s="93">
        <v>46204</v>
      </c>
      <c r="AA127" s="90">
        <v>46254</v>
      </c>
      <c r="AB127" s="88">
        <v>0</v>
      </c>
      <c r="AC127" s="79" t="s">
        <v>49</v>
      </c>
      <c r="AD127" s="79" t="s">
        <v>49</v>
      </c>
      <c r="AE127" s="90"/>
      <c r="AF127" s="88">
        <v>0</v>
      </c>
      <c r="AG127" s="93" cm="1">
        <f t="array" ref="AG127">WORKDAY(AA127,2)</f>
        <v>46258</v>
      </c>
      <c r="AH127" s="90" cm="1">
        <f t="array" ref="AH127">WORKDAY(AG127,1)</f>
        <v>46259</v>
      </c>
      <c r="AI127" s="86" cm="1">
        <f t="array" ref="AI127">WORKDAY(AH127,1)</f>
        <v>46260</v>
      </c>
      <c r="AJ127" s="144"/>
      <c r="AK127" s="56"/>
    </row>
    <row r="128" spans="1:37" ht="25.5" customHeight="1">
      <c r="A128" s="140" cm="1">
        <f t="array" ref="A128">A127+1</f>
        <v>113</v>
      </c>
      <c r="B128" s="79" t="s">
        <v>249</v>
      </c>
      <c r="C128" s="97">
        <v>1</v>
      </c>
      <c r="D128" s="79" t="s">
        <v>236</v>
      </c>
      <c r="E128" s="79" t="s">
        <v>250</v>
      </c>
      <c r="F128" s="79"/>
      <c r="G128" s="80" t="s">
        <v>222</v>
      </c>
      <c r="H128" s="81">
        <v>42852</v>
      </c>
      <c r="I128" s="82">
        <v>51</v>
      </c>
      <c r="J128" s="98"/>
      <c r="K128" s="100">
        <v>0.35</v>
      </c>
      <c r="L128" s="84">
        <v>46099</v>
      </c>
      <c r="M128" s="85">
        <v>46127</v>
      </c>
      <c r="N128" s="86" cm="1">
        <f t="array" ref="N128">WORKDAY(M128,5)</f>
        <v>46134</v>
      </c>
      <c r="O128" s="87">
        <v>0</v>
      </c>
      <c r="P128" s="88">
        <v>0</v>
      </c>
      <c r="Q128" s="89">
        <v>46113</v>
      </c>
      <c r="R128" s="96">
        <v>46136</v>
      </c>
      <c r="S128" s="86" cm="1">
        <f t="array" ref="S128">WORKDAY(R128,10)</f>
        <v>46150</v>
      </c>
      <c r="T128" s="87">
        <v>0</v>
      </c>
      <c r="U128" s="91" t="s">
        <v>114</v>
      </c>
      <c r="V128" s="92">
        <v>0</v>
      </c>
      <c r="W128" s="93" cm="1">
        <f t="array" ref="W128">WORKDAY(X128,-20)</f>
        <v>46177</v>
      </c>
      <c r="X128" s="80" t="s">
        <v>251</v>
      </c>
      <c r="Y128" s="88">
        <v>0</v>
      </c>
      <c r="Z128" s="93">
        <v>46206</v>
      </c>
      <c r="AA128" s="90">
        <v>46255</v>
      </c>
      <c r="AB128" s="88">
        <v>0</v>
      </c>
      <c r="AC128" s="79" t="s">
        <v>49</v>
      </c>
      <c r="AD128" s="79" t="s">
        <v>49</v>
      </c>
      <c r="AE128" s="90"/>
      <c r="AF128" s="88">
        <v>0</v>
      </c>
      <c r="AG128" s="93" cm="1">
        <f t="array" ref="AG128">WORKDAY(AA128,2)</f>
        <v>46259</v>
      </c>
      <c r="AH128" s="90" cm="1">
        <f t="array" ref="AH128">WORKDAY(AG128,1)</f>
        <v>46260</v>
      </c>
      <c r="AI128" s="86" cm="1">
        <f t="array" ref="AI128">WORKDAY(AH128,1)</f>
        <v>46261</v>
      </c>
      <c r="AJ128" s="144"/>
      <c r="AK128" s="56"/>
    </row>
    <row r="129" spans="1:37" ht="25.5" customHeight="1">
      <c r="A129" s="140" cm="1">
        <f t="array" ref="A129">A128+1</f>
        <v>114</v>
      </c>
      <c r="B129" s="79" t="s">
        <v>252</v>
      </c>
      <c r="C129" s="97">
        <v>1</v>
      </c>
      <c r="D129" s="79" t="s">
        <v>116</v>
      </c>
      <c r="E129" s="79" t="s">
        <v>253</v>
      </c>
      <c r="F129" s="79"/>
      <c r="G129" s="80" t="s">
        <v>254</v>
      </c>
      <c r="H129" s="81">
        <v>42091</v>
      </c>
      <c r="I129" s="82">
        <v>52</v>
      </c>
      <c r="J129" s="98"/>
      <c r="K129" s="100">
        <v>0.35</v>
      </c>
      <c r="L129" s="84">
        <v>46099</v>
      </c>
      <c r="M129" s="85">
        <v>46132</v>
      </c>
      <c r="N129" s="86" cm="1">
        <f t="array" ref="N129">WORKDAY(M129,5)</f>
        <v>46139</v>
      </c>
      <c r="O129" s="87">
        <v>0</v>
      </c>
      <c r="P129" s="88">
        <v>0</v>
      </c>
      <c r="Q129" s="89">
        <v>46113</v>
      </c>
      <c r="R129" s="96">
        <v>46136</v>
      </c>
      <c r="S129" s="86" cm="1">
        <f t="array" ref="S129">WORKDAY(R129,10)</f>
        <v>46150</v>
      </c>
      <c r="T129" s="87">
        <v>0</v>
      </c>
      <c r="U129" s="91" t="s">
        <v>105</v>
      </c>
      <c r="V129" s="92">
        <v>0</v>
      </c>
      <c r="W129" s="93" cm="1">
        <f t="array" ref="W129">WORKDAY(X129,-20)</f>
        <v>46162</v>
      </c>
      <c r="X129" s="90">
        <v>46190</v>
      </c>
      <c r="Y129" s="88">
        <v>0</v>
      </c>
      <c r="Z129" s="93">
        <v>46209</v>
      </c>
      <c r="AA129" s="90">
        <v>46255</v>
      </c>
      <c r="AB129" s="88">
        <v>0</v>
      </c>
      <c r="AC129" s="79" t="s">
        <v>49</v>
      </c>
      <c r="AD129" s="79" t="s">
        <v>49</v>
      </c>
      <c r="AE129" s="90"/>
      <c r="AF129" s="88">
        <v>0</v>
      </c>
      <c r="AG129" s="93" cm="1">
        <f t="array" ref="AG129">WORKDAY(AA129,2)</f>
        <v>46259</v>
      </c>
      <c r="AH129" s="90" cm="1">
        <f t="array" ref="AH129">WORKDAY(AG129,1)</f>
        <v>46260</v>
      </c>
      <c r="AI129" s="86" cm="1">
        <f t="array" ref="AI129">WORKDAY(AH129,1)</f>
        <v>46261</v>
      </c>
      <c r="AJ129" s="144"/>
      <c r="AK129" s="56"/>
    </row>
    <row r="130" spans="1:37" ht="25.5" customHeight="1">
      <c r="A130" s="140" cm="1">
        <f t="array" ref="A130">A129+1</f>
        <v>115</v>
      </c>
      <c r="B130" s="79" t="s">
        <v>1259</v>
      </c>
      <c r="C130" s="97">
        <v>1</v>
      </c>
      <c r="D130" s="79" t="s">
        <v>1253</v>
      </c>
      <c r="E130" s="79" t="s">
        <v>1260</v>
      </c>
      <c r="F130" s="79" t="s">
        <v>78</v>
      </c>
      <c r="G130" s="80" t="s">
        <v>1251</v>
      </c>
      <c r="H130" s="81">
        <v>93940</v>
      </c>
      <c r="I130" s="109"/>
      <c r="J130" s="110">
        <v>61</v>
      </c>
      <c r="K130" s="100">
        <v>0</v>
      </c>
      <c r="L130" s="105" cm="1">
        <f t="array" ref="L130">WORKDAY(M130,-10)</f>
        <v>46118</v>
      </c>
      <c r="M130" s="85">
        <v>46132</v>
      </c>
      <c r="N130" s="86" cm="1">
        <f t="array" ref="N130">WORKDAY(M130,10)</f>
        <v>46146</v>
      </c>
      <c r="O130" s="87">
        <v>0</v>
      </c>
      <c r="P130" s="88">
        <v>0</v>
      </c>
      <c r="Q130" s="89">
        <v>46113</v>
      </c>
      <c r="R130" s="96">
        <v>46136</v>
      </c>
      <c r="S130" s="86" cm="1">
        <f t="array" ref="S130">WORKDAY(R130,7)</f>
        <v>46147</v>
      </c>
      <c r="T130" s="87">
        <v>0</v>
      </c>
      <c r="U130" s="91" t="s">
        <v>105</v>
      </c>
      <c r="V130" s="92">
        <v>0</v>
      </c>
      <c r="W130" s="93" cm="1">
        <f t="array" ref="W130">WORKDAY(X130,-20)</f>
        <v>46174</v>
      </c>
      <c r="X130" s="90">
        <v>46202</v>
      </c>
      <c r="Y130" s="88">
        <v>0</v>
      </c>
      <c r="Z130" s="93">
        <v>46205</v>
      </c>
      <c r="AA130" s="90">
        <v>46255</v>
      </c>
      <c r="AB130" s="88">
        <v>0</v>
      </c>
      <c r="AC130" s="79" t="s">
        <v>49</v>
      </c>
      <c r="AD130" s="79" t="s">
        <v>49</v>
      </c>
      <c r="AE130" s="90"/>
      <c r="AF130" s="88">
        <v>0</v>
      </c>
      <c r="AG130" s="93" cm="1">
        <f t="array" ref="AG130">WORKDAY(AA130,2)</f>
        <v>46259</v>
      </c>
      <c r="AH130" s="90" cm="1">
        <f t="array" ref="AH130">WORKDAY(AG130,1)</f>
        <v>46260</v>
      </c>
      <c r="AI130" s="86" cm="1">
        <f t="array" ref="AI130">WORKDAY(AH130,1)</f>
        <v>46261</v>
      </c>
      <c r="AJ130" s="144"/>
      <c r="AK130" s="56"/>
    </row>
    <row r="131" spans="1:37" ht="25.5" customHeight="1">
      <c r="A131" s="140" cm="1">
        <f t="array" ref="A131">A130+1</f>
        <v>116</v>
      </c>
      <c r="B131" s="79" t="s">
        <v>255</v>
      </c>
      <c r="C131" s="97">
        <v>1</v>
      </c>
      <c r="D131" s="79" t="s">
        <v>116</v>
      </c>
      <c r="E131" s="79" t="s">
        <v>256</v>
      </c>
      <c r="F131" s="79"/>
      <c r="G131" s="80" t="s">
        <v>254</v>
      </c>
      <c r="H131" s="81">
        <v>42091</v>
      </c>
      <c r="I131" s="82">
        <v>53</v>
      </c>
      <c r="J131" s="98"/>
      <c r="K131" s="100">
        <v>0.35</v>
      </c>
      <c r="L131" s="84">
        <v>46099</v>
      </c>
      <c r="M131" s="85">
        <v>46132</v>
      </c>
      <c r="N131" s="86" cm="1">
        <f t="array" ref="N131">WORKDAY(M131,5)</f>
        <v>46139</v>
      </c>
      <c r="O131" s="87">
        <v>0</v>
      </c>
      <c r="P131" s="88">
        <v>0</v>
      </c>
      <c r="Q131" s="89">
        <v>46113</v>
      </c>
      <c r="R131" s="96">
        <v>46136</v>
      </c>
      <c r="S131" s="86" cm="1">
        <f t="array" ref="S131">WORKDAY(R131,10)</f>
        <v>46150</v>
      </c>
      <c r="T131" s="87">
        <v>0</v>
      </c>
      <c r="U131" s="91" t="s">
        <v>105</v>
      </c>
      <c r="V131" s="92">
        <v>0</v>
      </c>
      <c r="W131" s="93" cm="1">
        <f t="array" ref="W131">WORKDAY(X131,-20)</f>
        <v>46163</v>
      </c>
      <c r="X131" s="90">
        <v>46191</v>
      </c>
      <c r="Y131" s="88">
        <v>0</v>
      </c>
      <c r="Z131" s="93">
        <v>46210</v>
      </c>
      <c r="AA131" s="90">
        <v>46258</v>
      </c>
      <c r="AB131" s="88">
        <v>0</v>
      </c>
      <c r="AC131" s="79" t="s">
        <v>49</v>
      </c>
      <c r="AD131" s="79" t="s">
        <v>49</v>
      </c>
      <c r="AE131" s="90"/>
      <c r="AF131" s="88">
        <v>0</v>
      </c>
      <c r="AG131" s="93" cm="1">
        <f t="array" ref="AG131">WORKDAY(AA131,2)</f>
        <v>46260</v>
      </c>
      <c r="AH131" s="90" cm="1">
        <f t="array" ref="AH131">WORKDAY(AG131,1)</f>
        <v>46261</v>
      </c>
      <c r="AI131" s="86" cm="1">
        <f t="array" ref="AI131">WORKDAY(AH131,1)</f>
        <v>46262</v>
      </c>
      <c r="AJ131" s="144"/>
      <c r="AK131" s="56"/>
    </row>
    <row r="132" spans="1:37" ht="25.5" customHeight="1">
      <c r="A132" s="140" cm="1">
        <f t="array" ref="A132">A131+1</f>
        <v>117</v>
      </c>
      <c r="B132" s="79" t="s">
        <v>257</v>
      </c>
      <c r="C132" s="97">
        <v>1</v>
      </c>
      <c r="D132" s="79" t="s">
        <v>116</v>
      </c>
      <c r="E132" s="79" t="s">
        <v>258</v>
      </c>
      <c r="F132" s="79"/>
      <c r="G132" s="80" t="s">
        <v>254</v>
      </c>
      <c r="H132" s="81">
        <v>42091</v>
      </c>
      <c r="I132" s="82">
        <v>54</v>
      </c>
      <c r="J132" s="98"/>
      <c r="K132" s="100">
        <v>0.35</v>
      </c>
      <c r="L132" s="84">
        <v>46099</v>
      </c>
      <c r="M132" s="85">
        <v>46132</v>
      </c>
      <c r="N132" s="86" cm="1">
        <f t="array" ref="N132">WORKDAY(M132,5)</f>
        <v>46139</v>
      </c>
      <c r="O132" s="87">
        <v>0</v>
      </c>
      <c r="P132" s="88">
        <v>0</v>
      </c>
      <c r="Q132" s="89">
        <v>46113</v>
      </c>
      <c r="R132" s="96">
        <v>46136</v>
      </c>
      <c r="S132" s="86" cm="1">
        <f t="array" ref="S132">WORKDAY(R132,10)</f>
        <v>46150</v>
      </c>
      <c r="T132" s="87">
        <v>0</v>
      </c>
      <c r="U132" s="91" t="s">
        <v>105</v>
      </c>
      <c r="V132" s="92">
        <v>0</v>
      </c>
      <c r="W132" s="93" cm="1">
        <f t="array" ref="W132">WORKDAY(X132,-20)</f>
        <v>46163</v>
      </c>
      <c r="X132" s="90">
        <v>46191</v>
      </c>
      <c r="Y132" s="88">
        <v>0</v>
      </c>
      <c r="Z132" s="93">
        <v>46211</v>
      </c>
      <c r="AA132" s="90">
        <v>46258</v>
      </c>
      <c r="AB132" s="88">
        <v>0</v>
      </c>
      <c r="AC132" s="79" t="s">
        <v>49</v>
      </c>
      <c r="AD132" s="79" t="s">
        <v>49</v>
      </c>
      <c r="AE132" s="90"/>
      <c r="AF132" s="88">
        <v>0</v>
      </c>
      <c r="AG132" s="93" cm="1">
        <f t="array" ref="AG132">WORKDAY(AA132,2)</f>
        <v>46260</v>
      </c>
      <c r="AH132" s="90" cm="1">
        <f t="array" ref="AH132">WORKDAY(AG132,1)</f>
        <v>46261</v>
      </c>
      <c r="AI132" s="86" cm="1">
        <f t="array" ref="AI132">WORKDAY(AH132,1)</f>
        <v>46262</v>
      </c>
      <c r="AJ132" s="144"/>
      <c r="AK132" s="56"/>
    </row>
    <row r="133" spans="1:37" ht="25.5" customHeight="1">
      <c r="A133" s="140" cm="1">
        <f t="array" ref="A133">A132+1</f>
        <v>118</v>
      </c>
      <c r="B133" s="79" t="s">
        <v>1261</v>
      </c>
      <c r="C133" s="97">
        <v>1</v>
      </c>
      <c r="D133" s="79" t="s">
        <v>1253</v>
      </c>
      <c r="E133" s="79" t="s">
        <v>1262</v>
      </c>
      <c r="F133" s="79" t="s">
        <v>78</v>
      </c>
      <c r="G133" s="80" t="s">
        <v>1251</v>
      </c>
      <c r="H133" s="81">
        <v>93940</v>
      </c>
      <c r="I133" s="109"/>
      <c r="J133" s="110">
        <v>62</v>
      </c>
      <c r="K133" s="100">
        <v>0</v>
      </c>
      <c r="L133" s="105" cm="1">
        <f t="array" ref="L133">WORKDAY(M133,-10)</f>
        <v>46118</v>
      </c>
      <c r="M133" s="85">
        <v>46132</v>
      </c>
      <c r="N133" s="86" cm="1">
        <f t="array" ref="N133">WORKDAY(M133,10)</f>
        <v>46146</v>
      </c>
      <c r="O133" s="87">
        <v>0</v>
      </c>
      <c r="P133" s="88">
        <v>0</v>
      </c>
      <c r="Q133" s="89">
        <v>46113</v>
      </c>
      <c r="R133" s="96">
        <v>46136</v>
      </c>
      <c r="S133" s="86" cm="1">
        <f t="array" ref="S133">WORKDAY(R133,7)</f>
        <v>46147</v>
      </c>
      <c r="T133" s="87">
        <v>0</v>
      </c>
      <c r="U133" s="91" t="s">
        <v>105</v>
      </c>
      <c r="V133" s="92">
        <v>0</v>
      </c>
      <c r="W133" s="93" cm="1">
        <f t="array" ref="W133">WORKDAY(X133,-20)</f>
        <v>46175</v>
      </c>
      <c r="X133" s="90">
        <v>46203</v>
      </c>
      <c r="Y133" s="88">
        <v>0</v>
      </c>
      <c r="Z133" s="93">
        <v>46206</v>
      </c>
      <c r="AA133" s="90">
        <v>46258</v>
      </c>
      <c r="AB133" s="88">
        <v>0</v>
      </c>
      <c r="AC133" s="79" t="s">
        <v>49</v>
      </c>
      <c r="AD133" s="79" t="s">
        <v>49</v>
      </c>
      <c r="AE133" s="90"/>
      <c r="AF133" s="88">
        <v>0</v>
      </c>
      <c r="AG133" s="93" cm="1">
        <f t="array" ref="AG133">WORKDAY(AA133,2)</f>
        <v>46260</v>
      </c>
      <c r="AH133" s="90" cm="1">
        <f t="array" ref="AH133">WORKDAY(AG133,1)</f>
        <v>46261</v>
      </c>
      <c r="AI133" s="86" cm="1">
        <f t="array" ref="AI133">WORKDAY(AH133,1)</f>
        <v>46262</v>
      </c>
      <c r="AJ133" s="144"/>
      <c r="AK133" s="56"/>
    </row>
    <row r="134" spans="1:37" ht="25.5" customHeight="1">
      <c r="A134" s="140" cm="1">
        <f t="array" ref="A134">A133+1</f>
        <v>119</v>
      </c>
      <c r="B134" s="79" t="s">
        <v>259</v>
      </c>
      <c r="C134" s="97">
        <v>1</v>
      </c>
      <c r="D134" s="79" t="s">
        <v>116</v>
      </c>
      <c r="E134" s="79" t="s">
        <v>260</v>
      </c>
      <c r="F134" s="79"/>
      <c r="G134" s="80" t="s">
        <v>254</v>
      </c>
      <c r="H134" s="81">
        <v>42091</v>
      </c>
      <c r="I134" s="82">
        <v>55</v>
      </c>
      <c r="J134" s="98"/>
      <c r="K134" s="100">
        <v>0.35</v>
      </c>
      <c r="L134" s="84">
        <v>46099</v>
      </c>
      <c r="M134" s="85">
        <v>46132</v>
      </c>
      <c r="N134" s="86" cm="1">
        <f t="array" ref="N134">WORKDAY(M134,5)</f>
        <v>46139</v>
      </c>
      <c r="O134" s="87">
        <v>0</v>
      </c>
      <c r="P134" s="88">
        <v>0</v>
      </c>
      <c r="Q134" s="89">
        <v>46113</v>
      </c>
      <c r="R134" s="96">
        <v>46136</v>
      </c>
      <c r="S134" s="86" cm="1">
        <f t="array" ref="S134">WORKDAY(R134,10)</f>
        <v>46150</v>
      </c>
      <c r="T134" s="87">
        <v>0</v>
      </c>
      <c r="U134" s="91" t="s">
        <v>105</v>
      </c>
      <c r="V134" s="92">
        <v>0</v>
      </c>
      <c r="W134" s="93" cm="1">
        <f t="array" ref="W134">WORKDAY(X134,-20)</f>
        <v>46164</v>
      </c>
      <c r="X134" s="90">
        <v>46192</v>
      </c>
      <c r="Y134" s="88">
        <v>0</v>
      </c>
      <c r="Z134" s="93">
        <v>46212</v>
      </c>
      <c r="AA134" s="90">
        <v>46259</v>
      </c>
      <c r="AB134" s="88">
        <v>0</v>
      </c>
      <c r="AC134" s="79" t="s">
        <v>49</v>
      </c>
      <c r="AD134" s="79" t="s">
        <v>49</v>
      </c>
      <c r="AE134" s="90"/>
      <c r="AF134" s="88">
        <v>0</v>
      </c>
      <c r="AG134" s="93" cm="1">
        <f t="array" ref="AG134">WORKDAY(AA134,2)</f>
        <v>46261</v>
      </c>
      <c r="AH134" s="90" cm="1">
        <f t="array" ref="AH134">WORKDAY(AG134,1)</f>
        <v>46262</v>
      </c>
      <c r="AI134" s="86" cm="1">
        <f t="array" ref="AI134">WORKDAY(AH134,1)</f>
        <v>46265</v>
      </c>
      <c r="AJ134" s="144"/>
      <c r="AK134" s="56"/>
    </row>
    <row r="135" spans="1:37" ht="25.5" customHeight="1">
      <c r="A135" s="140" cm="1">
        <f t="array" ref="A135">A134+1</f>
        <v>120</v>
      </c>
      <c r="B135" s="79" t="s">
        <v>261</v>
      </c>
      <c r="C135" s="97">
        <v>1</v>
      </c>
      <c r="D135" s="79" t="s">
        <v>116</v>
      </c>
      <c r="E135" s="79" t="s">
        <v>262</v>
      </c>
      <c r="F135" s="79"/>
      <c r="G135" s="80" t="s">
        <v>254</v>
      </c>
      <c r="H135" s="81">
        <v>42091</v>
      </c>
      <c r="I135" s="82">
        <v>56</v>
      </c>
      <c r="J135" s="98"/>
      <c r="K135" s="100">
        <v>0.35</v>
      </c>
      <c r="L135" s="84">
        <v>46099</v>
      </c>
      <c r="M135" s="85">
        <v>46132</v>
      </c>
      <c r="N135" s="86" cm="1">
        <f t="array" ref="N135">WORKDAY(M135,5)</f>
        <v>46139</v>
      </c>
      <c r="O135" s="87">
        <v>0</v>
      </c>
      <c r="P135" s="88">
        <v>0</v>
      </c>
      <c r="Q135" s="89">
        <v>46113</v>
      </c>
      <c r="R135" s="96">
        <v>46136</v>
      </c>
      <c r="S135" s="86" cm="1">
        <f t="array" ref="S135">WORKDAY(R135,10)</f>
        <v>46150</v>
      </c>
      <c r="T135" s="87">
        <v>0</v>
      </c>
      <c r="U135" s="91" t="s">
        <v>105</v>
      </c>
      <c r="V135" s="92">
        <v>0</v>
      </c>
      <c r="W135" s="93" cm="1">
        <f t="array" ref="W135">WORKDAY(X135,-20)</f>
        <v>46176</v>
      </c>
      <c r="X135" s="80" t="s">
        <v>248</v>
      </c>
      <c r="Y135" s="88">
        <v>0</v>
      </c>
      <c r="Z135" s="93">
        <v>46213</v>
      </c>
      <c r="AA135" s="90">
        <v>46259</v>
      </c>
      <c r="AB135" s="88">
        <v>0</v>
      </c>
      <c r="AC135" s="79" t="s">
        <v>49</v>
      </c>
      <c r="AD135" s="79" t="s">
        <v>49</v>
      </c>
      <c r="AE135" s="90"/>
      <c r="AF135" s="88">
        <v>0</v>
      </c>
      <c r="AG135" s="93" cm="1">
        <f t="array" ref="AG135">WORKDAY(AA135,2)</f>
        <v>46261</v>
      </c>
      <c r="AH135" s="90" cm="1">
        <f t="array" ref="AH135">WORKDAY(AG135,1)</f>
        <v>46262</v>
      </c>
      <c r="AI135" s="86" cm="1">
        <f t="array" ref="AI135">WORKDAY(AH135,1)</f>
        <v>46265</v>
      </c>
      <c r="AJ135" s="144"/>
      <c r="AK135" s="56"/>
    </row>
    <row r="136" spans="1:37" ht="25.5" customHeight="1">
      <c r="A136" s="140" cm="1">
        <f t="array" ref="A136">A135+1</f>
        <v>121</v>
      </c>
      <c r="B136" s="79" t="s">
        <v>1263</v>
      </c>
      <c r="C136" s="97">
        <v>1</v>
      </c>
      <c r="D136" s="79" t="s">
        <v>1253</v>
      </c>
      <c r="E136" s="79" t="s">
        <v>1264</v>
      </c>
      <c r="F136" s="79" t="s">
        <v>78</v>
      </c>
      <c r="G136" s="80" t="s">
        <v>1251</v>
      </c>
      <c r="H136" s="81">
        <v>93940</v>
      </c>
      <c r="I136" s="109"/>
      <c r="J136" s="110">
        <v>63</v>
      </c>
      <c r="K136" s="100">
        <v>0</v>
      </c>
      <c r="L136" s="105" cm="1">
        <f t="array" ref="L136">WORKDAY(M136,-10)</f>
        <v>46118</v>
      </c>
      <c r="M136" s="85">
        <v>46132</v>
      </c>
      <c r="N136" s="86" cm="1">
        <f t="array" ref="N136">WORKDAY(M136,10)</f>
        <v>46146</v>
      </c>
      <c r="O136" s="87">
        <v>0</v>
      </c>
      <c r="P136" s="88">
        <v>0</v>
      </c>
      <c r="Q136" s="89">
        <v>46113</v>
      </c>
      <c r="R136" s="96">
        <v>46136</v>
      </c>
      <c r="S136" s="86" cm="1">
        <f t="array" ref="S136">WORKDAY(R136,7)</f>
        <v>46147</v>
      </c>
      <c r="T136" s="87">
        <v>0</v>
      </c>
      <c r="U136" s="91" t="s">
        <v>105</v>
      </c>
      <c r="V136" s="92">
        <v>0</v>
      </c>
      <c r="W136" s="93" cm="1">
        <f t="array" ref="W136">WORKDAY(X136,-20)</f>
        <v>46175</v>
      </c>
      <c r="X136" s="90">
        <v>46203</v>
      </c>
      <c r="Y136" s="88">
        <v>0</v>
      </c>
      <c r="Z136" s="93">
        <v>46206</v>
      </c>
      <c r="AA136" s="90">
        <v>46259</v>
      </c>
      <c r="AB136" s="88">
        <v>0</v>
      </c>
      <c r="AC136" s="79" t="s">
        <v>49</v>
      </c>
      <c r="AD136" s="79" t="s">
        <v>49</v>
      </c>
      <c r="AE136" s="90"/>
      <c r="AF136" s="88">
        <v>0</v>
      </c>
      <c r="AG136" s="93" cm="1">
        <f t="array" ref="AG136">WORKDAY(AA136,2)</f>
        <v>46261</v>
      </c>
      <c r="AH136" s="90" cm="1">
        <f t="array" ref="AH136">WORKDAY(AG136,1)</f>
        <v>46262</v>
      </c>
      <c r="AI136" s="86" cm="1">
        <f t="array" ref="AI136">WORKDAY(AH136,1)</f>
        <v>46265</v>
      </c>
      <c r="AJ136" s="144"/>
      <c r="AK136" s="56"/>
    </row>
    <row r="137" spans="1:37" ht="25.5" customHeight="1">
      <c r="A137" s="140" cm="1">
        <f t="array" ref="A137">A136+1</f>
        <v>122</v>
      </c>
      <c r="B137" s="79" t="s">
        <v>263</v>
      </c>
      <c r="C137" s="97">
        <v>1</v>
      </c>
      <c r="D137" s="79" t="s">
        <v>116</v>
      </c>
      <c r="E137" s="79" t="s">
        <v>264</v>
      </c>
      <c r="F137" s="79"/>
      <c r="G137" s="80" t="s">
        <v>254</v>
      </c>
      <c r="H137" s="81">
        <v>42091</v>
      </c>
      <c r="I137" s="82">
        <v>57</v>
      </c>
      <c r="J137" s="98"/>
      <c r="K137" s="100">
        <v>0.35</v>
      </c>
      <c r="L137" s="84">
        <v>46099</v>
      </c>
      <c r="M137" s="85">
        <v>46132</v>
      </c>
      <c r="N137" s="86" cm="1">
        <f t="array" ref="N137">WORKDAY(M137,5)</f>
        <v>46139</v>
      </c>
      <c r="O137" s="87">
        <v>0</v>
      </c>
      <c r="P137" s="88">
        <v>0</v>
      </c>
      <c r="Q137" s="89">
        <v>46113</v>
      </c>
      <c r="R137" s="96">
        <v>46136</v>
      </c>
      <c r="S137" s="86" cm="1">
        <f t="array" ref="S137">WORKDAY(R137,10)</f>
        <v>46150</v>
      </c>
      <c r="T137" s="87">
        <v>0</v>
      </c>
      <c r="U137" s="91" t="s">
        <v>105</v>
      </c>
      <c r="V137" s="92">
        <v>0</v>
      </c>
      <c r="W137" s="93" cm="1">
        <f t="array" ref="W137">WORKDAY(X137,-20)</f>
        <v>46177</v>
      </c>
      <c r="X137" s="80" t="s">
        <v>251</v>
      </c>
      <c r="Y137" s="88">
        <v>0</v>
      </c>
      <c r="Z137" s="93">
        <v>46216</v>
      </c>
      <c r="AA137" s="90">
        <v>46260</v>
      </c>
      <c r="AB137" s="88">
        <v>0</v>
      </c>
      <c r="AC137" s="79" t="s">
        <v>49</v>
      </c>
      <c r="AD137" s="79" t="s">
        <v>49</v>
      </c>
      <c r="AE137" s="90"/>
      <c r="AF137" s="88">
        <v>0</v>
      </c>
      <c r="AG137" s="93" cm="1">
        <f t="array" ref="AG137">WORKDAY(AA137,2)</f>
        <v>46262</v>
      </c>
      <c r="AH137" s="90" cm="1">
        <f t="array" ref="AH137">WORKDAY(AG137,1)</f>
        <v>46265</v>
      </c>
      <c r="AI137" s="86" cm="1">
        <f t="array" ref="AI137">WORKDAY(AH137,1)</f>
        <v>46266</v>
      </c>
      <c r="AJ137" s="144"/>
      <c r="AK137" s="56"/>
    </row>
    <row r="138" spans="1:37" ht="25.5" customHeight="1">
      <c r="A138" s="140" cm="1">
        <f t="array" ref="A138">A137+1</f>
        <v>123</v>
      </c>
      <c r="B138" s="79" t="s">
        <v>265</v>
      </c>
      <c r="C138" s="97">
        <v>1</v>
      </c>
      <c r="D138" s="79" t="s">
        <v>266</v>
      </c>
      <c r="E138" s="79" t="s">
        <v>267</v>
      </c>
      <c r="F138" s="79"/>
      <c r="G138" s="80" t="s">
        <v>254</v>
      </c>
      <c r="H138" s="81">
        <v>42091</v>
      </c>
      <c r="I138" s="82">
        <v>58</v>
      </c>
      <c r="J138" s="98"/>
      <c r="K138" s="100">
        <v>0.35</v>
      </c>
      <c r="L138" s="84">
        <v>46099</v>
      </c>
      <c r="M138" s="85">
        <v>46139</v>
      </c>
      <c r="N138" s="86" cm="1">
        <f t="array" ref="N138">WORKDAY(M138,5)</f>
        <v>46146</v>
      </c>
      <c r="O138" s="87">
        <v>0</v>
      </c>
      <c r="P138" s="88">
        <v>0</v>
      </c>
      <c r="Q138" s="89">
        <v>46113</v>
      </c>
      <c r="R138" s="96">
        <v>46136</v>
      </c>
      <c r="S138" s="86" cm="1">
        <f t="array" ref="S138">WORKDAY(R138,10)</f>
        <v>46150</v>
      </c>
      <c r="T138" s="87">
        <v>0</v>
      </c>
      <c r="U138" s="91" t="s">
        <v>105</v>
      </c>
      <c r="V138" s="92">
        <v>0</v>
      </c>
      <c r="W138" s="93" cm="1">
        <f t="array" ref="W138">WORKDAY(X138,-20)</f>
        <v>46178</v>
      </c>
      <c r="X138" s="80" t="s">
        <v>268</v>
      </c>
      <c r="Y138" s="88">
        <v>0</v>
      </c>
      <c r="Z138" s="93">
        <v>46217</v>
      </c>
      <c r="AA138" s="90">
        <v>46260</v>
      </c>
      <c r="AB138" s="88">
        <v>0</v>
      </c>
      <c r="AC138" s="79" t="s">
        <v>49</v>
      </c>
      <c r="AD138" s="79" t="s">
        <v>49</v>
      </c>
      <c r="AE138" s="90"/>
      <c r="AF138" s="88">
        <v>0</v>
      </c>
      <c r="AG138" s="93" cm="1">
        <f t="array" ref="AG138">WORKDAY(AA138,2)</f>
        <v>46262</v>
      </c>
      <c r="AH138" s="90" cm="1">
        <f t="array" ref="AH138">WORKDAY(AG138,1)</f>
        <v>46265</v>
      </c>
      <c r="AI138" s="86" cm="1">
        <f t="array" ref="AI138">WORKDAY(AH138,1)</f>
        <v>46266</v>
      </c>
      <c r="AJ138" s="144"/>
      <c r="AK138" s="56"/>
    </row>
    <row r="139" spans="1:37" ht="25.5" customHeight="1">
      <c r="A139" s="140" cm="1">
        <f t="array" ref="A139">A138+1</f>
        <v>124</v>
      </c>
      <c r="B139" s="79" t="s">
        <v>1265</v>
      </c>
      <c r="C139" s="104">
        <v>2</v>
      </c>
      <c r="D139" s="79" t="s">
        <v>1153</v>
      </c>
      <c r="E139" s="79" t="s">
        <v>1266</v>
      </c>
      <c r="F139" s="79" t="s">
        <v>78</v>
      </c>
      <c r="G139" s="80" t="s">
        <v>1267</v>
      </c>
      <c r="H139" s="81">
        <v>67516</v>
      </c>
      <c r="I139" s="109"/>
      <c r="J139" s="110">
        <v>64</v>
      </c>
      <c r="K139" s="107" t="s">
        <v>1125</v>
      </c>
      <c r="L139" s="84">
        <v>46099</v>
      </c>
      <c r="M139" s="85">
        <v>46115</v>
      </c>
      <c r="N139" s="86" cm="1">
        <f t="array" ref="N139">WORKDAY(M139,10)</f>
        <v>46129</v>
      </c>
      <c r="O139" s="87">
        <v>0</v>
      </c>
      <c r="P139" s="88">
        <v>0</v>
      </c>
      <c r="Q139" s="89">
        <v>46136</v>
      </c>
      <c r="R139" s="96">
        <v>46164</v>
      </c>
      <c r="S139" s="86" cm="1">
        <f t="array" ref="S139">WORKDAY(R139,10)</f>
        <v>46178</v>
      </c>
      <c r="T139" s="87">
        <v>0</v>
      </c>
      <c r="U139" s="91" t="s">
        <v>105</v>
      </c>
      <c r="V139" s="92">
        <v>0</v>
      </c>
      <c r="W139" s="93" cm="1">
        <f t="array" ref="W139">WORKDAY(X139,-20)</f>
        <v>46176</v>
      </c>
      <c r="X139" s="80" t="s">
        <v>248</v>
      </c>
      <c r="Y139" s="88">
        <v>0</v>
      </c>
      <c r="Z139" s="93">
        <v>46209</v>
      </c>
      <c r="AA139" s="90">
        <v>46260</v>
      </c>
      <c r="AB139" s="88">
        <v>0</v>
      </c>
      <c r="AC139" s="79" t="s">
        <v>49</v>
      </c>
      <c r="AD139" s="79" t="s">
        <v>49</v>
      </c>
      <c r="AE139" s="90"/>
      <c r="AF139" s="88">
        <v>0</v>
      </c>
      <c r="AG139" s="93" cm="1">
        <f t="array" ref="AG139">WORKDAY(AA139,2)</f>
        <v>46262</v>
      </c>
      <c r="AH139" s="90" cm="1">
        <f t="array" ref="AH139">WORKDAY(AG139,1)</f>
        <v>46265</v>
      </c>
      <c r="AI139" s="86" cm="1">
        <f t="array" ref="AI139">WORKDAY(AH139,1)</f>
        <v>46266</v>
      </c>
      <c r="AJ139" s="145"/>
      <c r="AK139" s="56"/>
    </row>
    <row r="140" spans="1:37" ht="25.5" customHeight="1">
      <c r="A140" s="140" cm="1">
        <f t="array" ref="A140">A139+1</f>
        <v>125</v>
      </c>
      <c r="B140" s="79" t="s">
        <v>269</v>
      </c>
      <c r="C140" s="97">
        <v>1</v>
      </c>
      <c r="D140" s="79" t="s">
        <v>270</v>
      </c>
      <c r="E140" s="79" t="s">
        <v>271</v>
      </c>
      <c r="F140" s="79"/>
      <c r="G140" s="80" t="s">
        <v>254</v>
      </c>
      <c r="H140" s="81">
        <v>42091</v>
      </c>
      <c r="I140" s="82">
        <v>59</v>
      </c>
      <c r="J140" s="98"/>
      <c r="K140" s="100">
        <v>0.35</v>
      </c>
      <c r="L140" s="84">
        <v>46099</v>
      </c>
      <c r="M140" s="85">
        <v>46139</v>
      </c>
      <c r="N140" s="86" cm="1">
        <f t="array" ref="N140">WORKDAY(M140,5)</f>
        <v>46146</v>
      </c>
      <c r="O140" s="87">
        <v>0</v>
      </c>
      <c r="P140" s="88">
        <v>0</v>
      </c>
      <c r="Q140" s="89">
        <v>46113</v>
      </c>
      <c r="R140" s="96">
        <v>46136</v>
      </c>
      <c r="S140" s="86" cm="1">
        <f t="array" ref="S140">WORKDAY(R140,10)</f>
        <v>46150</v>
      </c>
      <c r="T140" s="87">
        <v>0</v>
      </c>
      <c r="U140" s="91" t="s">
        <v>105</v>
      </c>
      <c r="V140" s="92">
        <v>0</v>
      </c>
      <c r="W140" s="93" cm="1">
        <f t="array" ref="W140">WORKDAY(X140,-20)</f>
        <v>46181</v>
      </c>
      <c r="X140" s="80" t="s">
        <v>272</v>
      </c>
      <c r="Y140" s="88">
        <v>0</v>
      </c>
      <c r="Z140" s="93">
        <v>46218</v>
      </c>
      <c r="AA140" s="90">
        <v>46261</v>
      </c>
      <c r="AB140" s="88">
        <v>0</v>
      </c>
      <c r="AC140" s="79" t="s">
        <v>49</v>
      </c>
      <c r="AD140" s="79" t="s">
        <v>49</v>
      </c>
      <c r="AE140" s="90"/>
      <c r="AF140" s="88">
        <v>0</v>
      </c>
      <c r="AG140" s="93" cm="1">
        <f t="array" ref="AG140">WORKDAY(AA140,2)</f>
        <v>46265</v>
      </c>
      <c r="AH140" s="90" cm="1">
        <f t="array" ref="AH140">WORKDAY(AG140,1)</f>
        <v>46266</v>
      </c>
      <c r="AI140" s="86" cm="1">
        <f t="array" ref="AI140">WORKDAY(AH140,1)</f>
        <v>46267</v>
      </c>
      <c r="AJ140" s="144"/>
      <c r="AK140" s="56"/>
    </row>
    <row r="141" spans="1:37" ht="25.5" customHeight="1">
      <c r="A141" s="140" cm="1">
        <f t="array" ref="A141">A140+1</f>
        <v>126</v>
      </c>
      <c r="B141" s="79" t="s">
        <v>273</v>
      </c>
      <c r="C141" s="97">
        <v>1</v>
      </c>
      <c r="D141" s="79" t="s">
        <v>270</v>
      </c>
      <c r="E141" s="79" t="s">
        <v>274</v>
      </c>
      <c r="F141" s="79"/>
      <c r="G141" s="80" t="s">
        <v>254</v>
      </c>
      <c r="H141" s="81">
        <v>42091</v>
      </c>
      <c r="I141" s="82">
        <v>60</v>
      </c>
      <c r="J141" s="98"/>
      <c r="K141" s="100">
        <v>0.35</v>
      </c>
      <c r="L141" s="84">
        <v>46099</v>
      </c>
      <c r="M141" s="85">
        <v>46139</v>
      </c>
      <c r="N141" s="86" cm="1">
        <f t="array" ref="N141">WORKDAY(M141,5)</f>
        <v>46146</v>
      </c>
      <c r="O141" s="87">
        <v>0</v>
      </c>
      <c r="P141" s="88">
        <v>0</v>
      </c>
      <c r="Q141" s="89">
        <v>46113</v>
      </c>
      <c r="R141" s="96">
        <v>46136</v>
      </c>
      <c r="S141" s="86" cm="1">
        <f t="array" ref="S141">WORKDAY(R141,10)</f>
        <v>46150</v>
      </c>
      <c r="T141" s="87">
        <v>0</v>
      </c>
      <c r="U141" s="91" t="s">
        <v>105</v>
      </c>
      <c r="V141" s="92">
        <v>0</v>
      </c>
      <c r="W141" s="93" cm="1">
        <f t="array" ref="W141">WORKDAY(X141,-20)</f>
        <v>46182</v>
      </c>
      <c r="X141" s="80" t="s">
        <v>275</v>
      </c>
      <c r="Y141" s="88">
        <v>0</v>
      </c>
      <c r="Z141" s="93">
        <v>46219</v>
      </c>
      <c r="AA141" s="90">
        <v>46261</v>
      </c>
      <c r="AB141" s="88">
        <v>0</v>
      </c>
      <c r="AC141" s="79" t="s">
        <v>49</v>
      </c>
      <c r="AD141" s="79" t="s">
        <v>49</v>
      </c>
      <c r="AE141" s="90"/>
      <c r="AF141" s="88">
        <v>0</v>
      </c>
      <c r="AG141" s="93" cm="1">
        <f t="array" ref="AG141">WORKDAY(AA141,2)</f>
        <v>46265</v>
      </c>
      <c r="AH141" s="90" cm="1">
        <f t="array" ref="AH141">WORKDAY(AG141,1)</f>
        <v>46266</v>
      </c>
      <c r="AI141" s="86" cm="1">
        <f t="array" ref="AI141">WORKDAY(AH141,1)</f>
        <v>46267</v>
      </c>
      <c r="AJ141" s="144"/>
      <c r="AK141" s="56"/>
    </row>
    <row r="142" spans="1:37" ht="25.5" customHeight="1">
      <c r="A142" s="140" cm="1">
        <f t="array" ref="A142">A141+1</f>
        <v>127</v>
      </c>
      <c r="B142" s="79" t="s">
        <v>1268</v>
      </c>
      <c r="C142" s="104">
        <v>2</v>
      </c>
      <c r="D142" s="79" t="s">
        <v>1156</v>
      </c>
      <c r="E142" s="79" t="s">
        <v>1269</v>
      </c>
      <c r="F142" s="79" t="s">
        <v>78</v>
      </c>
      <c r="G142" s="80" t="s">
        <v>1267</v>
      </c>
      <c r="H142" s="81">
        <v>67516</v>
      </c>
      <c r="I142" s="109"/>
      <c r="J142" s="110">
        <v>65</v>
      </c>
      <c r="K142" s="99" t="s">
        <v>126</v>
      </c>
      <c r="L142" s="84">
        <v>46099</v>
      </c>
      <c r="M142" s="85">
        <v>46115</v>
      </c>
      <c r="N142" s="86" cm="1">
        <f t="array" ref="N142">WORKDAY(M142,10)</f>
        <v>46129</v>
      </c>
      <c r="O142" s="87">
        <v>0</v>
      </c>
      <c r="P142" s="88">
        <v>0</v>
      </c>
      <c r="Q142" s="89">
        <v>46136</v>
      </c>
      <c r="R142" s="96">
        <v>46164</v>
      </c>
      <c r="S142" s="86" cm="1">
        <f t="array" ref="S142">WORKDAY(R142,10)</f>
        <v>46178</v>
      </c>
      <c r="T142" s="87">
        <v>0</v>
      </c>
      <c r="U142" s="91" t="s">
        <v>105</v>
      </c>
      <c r="V142" s="92">
        <v>0</v>
      </c>
      <c r="W142" s="93" cm="1">
        <f t="array" ref="W142">WORKDAY(X142,-20)</f>
        <v>46177</v>
      </c>
      <c r="X142" s="80" t="s">
        <v>251</v>
      </c>
      <c r="Y142" s="88">
        <v>0</v>
      </c>
      <c r="Z142" s="93">
        <v>46210</v>
      </c>
      <c r="AA142" s="90">
        <v>46261</v>
      </c>
      <c r="AB142" s="88">
        <v>0</v>
      </c>
      <c r="AC142" s="79" t="s">
        <v>49</v>
      </c>
      <c r="AD142" s="79" t="s">
        <v>49</v>
      </c>
      <c r="AE142" s="90"/>
      <c r="AF142" s="88">
        <v>0</v>
      </c>
      <c r="AG142" s="93" cm="1">
        <f t="array" ref="AG142">WORKDAY(AA142,2)</f>
        <v>46265</v>
      </c>
      <c r="AH142" s="90" cm="1">
        <f t="array" ref="AH142">WORKDAY(AG142,1)</f>
        <v>46266</v>
      </c>
      <c r="AI142" s="86" cm="1">
        <f t="array" ref="AI142">WORKDAY(AH142,1)</f>
        <v>46267</v>
      </c>
      <c r="AJ142" s="145"/>
      <c r="AK142" s="56"/>
    </row>
    <row r="143" spans="1:37" ht="25.5" customHeight="1">
      <c r="A143" s="140" cm="1">
        <f t="array" ref="A143">A142+1</f>
        <v>128</v>
      </c>
      <c r="B143" s="79" t="s">
        <v>276</v>
      </c>
      <c r="C143" s="97">
        <v>1</v>
      </c>
      <c r="D143" s="79" t="s">
        <v>270</v>
      </c>
      <c r="E143" s="79" t="s">
        <v>277</v>
      </c>
      <c r="F143" s="79"/>
      <c r="G143" s="80" t="s">
        <v>254</v>
      </c>
      <c r="H143" s="81">
        <v>42091</v>
      </c>
      <c r="I143" s="82">
        <v>61</v>
      </c>
      <c r="J143" s="98"/>
      <c r="K143" s="100">
        <v>0.35</v>
      </c>
      <c r="L143" s="84">
        <v>46099</v>
      </c>
      <c r="M143" s="85">
        <v>46139</v>
      </c>
      <c r="N143" s="86" cm="1">
        <f t="array" ref="N143">WORKDAY(M143,5)</f>
        <v>46146</v>
      </c>
      <c r="O143" s="87">
        <v>0</v>
      </c>
      <c r="P143" s="88">
        <v>0</v>
      </c>
      <c r="Q143" s="89">
        <v>46113</v>
      </c>
      <c r="R143" s="96">
        <v>46136</v>
      </c>
      <c r="S143" s="86" cm="1">
        <f t="array" ref="S143">WORKDAY(R143,10)</f>
        <v>46150</v>
      </c>
      <c r="T143" s="87">
        <v>0</v>
      </c>
      <c r="U143" s="91" t="s">
        <v>105</v>
      </c>
      <c r="V143" s="92">
        <v>0</v>
      </c>
      <c r="W143" s="93" cm="1">
        <f t="array" ref="W143">WORKDAY(X143,-20)</f>
        <v>46183</v>
      </c>
      <c r="X143" s="80" t="s">
        <v>278</v>
      </c>
      <c r="Y143" s="88">
        <v>0</v>
      </c>
      <c r="Z143" s="93">
        <v>46220</v>
      </c>
      <c r="AA143" s="90">
        <v>46262</v>
      </c>
      <c r="AB143" s="88">
        <v>0</v>
      </c>
      <c r="AC143" s="79" t="s">
        <v>49</v>
      </c>
      <c r="AD143" s="79" t="s">
        <v>49</v>
      </c>
      <c r="AE143" s="90"/>
      <c r="AF143" s="88">
        <v>0</v>
      </c>
      <c r="AG143" s="93" cm="1">
        <f t="array" ref="AG143">WORKDAY(AA143,2)</f>
        <v>46266</v>
      </c>
      <c r="AH143" s="90" cm="1">
        <f t="array" ref="AH143">WORKDAY(AG143,1)</f>
        <v>46267</v>
      </c>
      <c r="AI143" s="86" cm="1">
        <f t="array" ref="AI143">WORKDAY(AH143,1)</f>
        <v>46268</v>
      </c>
      <c r="AJ143" s="144"/>
      <c r="AK143" s="56"/>
    </row>
    <row r="144" spans="1:37" ht="25.5" customHeight="1">
      <c r="A144" s="140" cm="1">
        <f t="array" ref="A144">A143+1</f>
        <v>129</v>
      </c>
      <c r="B144" s="79" t="s">
        <v>279</v>
      </c>
      <c r="C144" s="97">
        <v>1</v>
      </c>
      <c r="D144" s="79" t="s">
        <v>270</v>
      </c>
      <c r="E144" s="79" t="s">
        <v>280</v>
      </c>
      <c r="F144" s="79"/>
      <c r="G144" s="80" t="s">
        <v>254</v>
      </c>
      <c r="H144" s="81">
        <v>42091</v>
      </c>
      <c r="I144" s="82">
        <v>62</v>
      </c>
      <c r="J144" s="98"/>
      <c r="K144" s="100">
        <v>0.35</v>
      </c>
      <c r="L144" s="84">
        <v>46099</v>
      </c>
      <c r="M144" s="85">
        <v>46139</v>
      </c>
      <c r="N144" s="86" cm="1">
        <f t="array" ref="N144">WORKDAY(M144,5)</f>
        <v>46146</v>
      </c>
      <c r="O144" s="87">
        <v>0</v>
      </c>
      <c r="P144" s="88">
        <v>0</v>
      </c>
      <c r="Q144" s="89">
        <v>46113</v>
      </c>
      <c r="R144" s="96">
        <v>46136</v>
      </c>
      <c r="S144" s="86" cm="1">
        <f t="array" ref="S144">WORKDAY(R144,10)</f>
        <v>46150</v>
      </c>
      <c r="T144" s="87">
        <v>0</v>
      </c>
      <c r="U144" s="91" t="s">
        <v>105</v>
      </c>
      <c r="V144" s="92">
        <v>0</v>
      </c>
      <c r="W144" s="93" cm="1">
        <f t="array" ref="W144">WORKDAY(X144,-20)</f>
        <v>46184</v>
      </c>
      <c r="X144" s="80" t="s">
        <v>281</v>
      </c>
      <c r="Y144" s="88">
        <v>0</v>
      </c>
      <c r="Z144" s="93">
        <v>46223</v>
      </c>
      <c r="AA144" s="90">
        <v>46262</v>
      </c>
      <c r="AB144" s="88">
        <v>0</v>
      </c>
      <c r="AC144" s="79" t="s">
        <v>49</v>
      </c>
      <c r="AD144" s="79" t="s">
        <v>49</v>
      </c>
      <c r="AE144" s="90"/>
      <c r="AF144" s="88">
        <v>0</v>
      </c>
      <c r="AG144" s="93" cm="1">
        <f t="array" ref="AG144">WORKDAY(AA144,2)</f>
        <v>46266</v>
      </c>
      <c r="AH144" s="90" cm="1">
        <f t="array" ref="AH144">WORKDAY(AG144,1)</f>
        <v>46267</v>
      </c>
      <c r="AI144" s="86" cm="1">
        <f t="array" ref="AI144">WORKDAY(AH144,1)</f>
        <v>46268</v>
      </c>
      <c r="AJ144" s="144"/>
      <c r="AK144" s="56"/>
    </row>
    <row r="145" spans="1:37" ht="25.5" customHeight="1">
      <c r="A145" s="140" cm="1">
        <f t="array" ref="A145">A144+1</f>
        <v>130</v>
      </c>
      <c r="B145" s="79" t="s">
        <v>1270</v>
      </c>
      <c r="C145" s="104">
        <v>2</v>
      </c>
      <c r="D145" s="79" t="s">
        <v>1156</v>
      </c>
      <c r="E145" s="79" t="s">
        <v>1271</v>
      </c>
      <c r="F145" s="79" t="s">
        <v>78</v>
      </c>
      <c r="G145" s="80" t="s">
        <v>1267</v>
      </c>
      <c r="H145" s="81">
        <v>67516</v>
      </c>
      <c r="I145" s="109"/>
      <c r="J145" s="110">
        <v>66</v>
      </c>
      <c r="K145" s="99" t="s">
        <v>126</v>
      </c>
      <c r="L145" s="84">
        <v>46099</v>
      </c>
      <c r="M145" s="85">
        <v>46115</v>
      </c>
      <c r="N145" s="86" cm="1">
        <f t="array" ref="N145">WORKDAY(M145,10)</f>
        <v>46129</v>
      </c>
      <c r="O145" s="87">
        <v>0</v>
      </c>
      <c r="P145" s="88">
        <v>0</v>
      </c>
      <c r="Q145" s="89">
        <v>46136</v>
      </c>
      <c r="R145" s="96">
        <v>46164</v>
      </c>
      <c r="S145" s="86" cm="1">
        <f t="array" ref="S145">WORKDAY(R145,10)</f>
        <v>46178</v>
      </c>
      <c r="T145" s="87">
        <v>0</v>
      </c>
      <c r="U145" s="91" t="s">
        <v>105</v>
      </c>
      <c r="V145" s="92">
        <v>0</v>
      </c>
      <c r="W145" s="93" cm="1">
        <f t="array" ref="W145">WORKDAY(X145,-20)</f>
        <v>46178</v>
      </c>
      <c r="X145" s="80" t="s">
        <v>268</v>
      </c>
      <c r="Y145" s="88">
        <v>0</v>
      </c>
      <c r="Z145" s="93">
        <v>46211</v>
      </c>
      <c r="AA145" s="90">
        <v>46262</v>
      </c>
      <c r="AB145" s="88">
        <v>0</v>
      </c>
      <c r="AC145" s="79" t="s">
        <v>49</v>
      </c>
      <c r="AD145" s="79" t="s">
        <v>49</v>
      </c>
      <c r="AE145" s="90"/>
      <c r="AF145" s="88">
        <v>0</v>
      </c>
      <c r="AG145" s="93" cm="1">
        <f t="array" ref="AG145">WORKDAY(AA145,2)</f>
        <v>46266</v>
      </c>
      <c r="AH145" s="90" cm="1">
        <f t="array" ref="AH145">WORKDAY(AG145,1)</f>
        <v>46267</v>
      </c>
      <c r="AI145" s="86" cm="1">
        <f t="array" ref="AI145">WORKDAY(AH145,1)</f>
        <v>46268</v>
      </c>
      <c r="AJ145" s="145"/>
      <c r="AK145" s="56"/>
    </row>
    <row r="146" spans="1:37" ht="25.5" customHeight="1">
      <c r="A146" s="140" cm="1">
        <f t="array" ref="A146">A145+1</f>
        <v>131</v>
      </c>
      <c r="B146" s="79" t="s">
        <v>282</v>
      </c>
      <c r="C146" s="97">
        <v>1</v>
      </c>
      <c r="D146" s="79" t="s">
        <v>270</v>
      </c>
      <c r="E146" s="79" t="s">
        <v>283</v>
      </c>
      <c r="F146" s="79"/>
      <c r="G146" s="80" t="s">
        <v>254</v>
      </c>
      <c r="H146" s="81">
        <v>42091</v>
      </c>
      <c r="I146" s="82">
        <v>63</v>
      </c>
      <c r="J146" s="98"/>
      <c r="K146" s="100">
        <v>0.35</v>
      </c>
      <c r="L146" s="84">
        <v>46099</v>
      </c>
      <c r="M146" s="85">
        <v>46139</v>
      </c>
      <c r="N146" s="86" cm="1">
        <f t="array" ref="N146">WORKDAY(M146,5)</f>
        <v>46146</v>
      </c>
      <c r="O146" s="87">
        <v>0</v>
      </c>
      <c r="P146" s="88">
        <v>0</v>
      </c>
      <c r="Q146" s="89">
        <v>46113</v>
      </c>
      <c r="R146" s="96">
        <v>46136</v>
      </c>
      <c r="S146" s="86" cm="1">
        <f t="array" ref="S146">WORKDAY(R146,10)</f>
        <v>46150</v>
      </c>
      <c r="T146" s="87">
        <v>0</v>
      </c>
      <c r="U146" s="91" t="s">
        <v>105</v>
      </c>
      <c r="V146" s="92">
        <v>0</v>
      </c>
      <c r="W146" s="93" cm="1">
        <f t="array" ref="W146">WORKDAY(X146,-20)</f>
        <v>46185</v>
      </c>
      <c r="X146" s="80" t="s">
        <v>284</v>
      </c>
      <c r="Y146" s="88">
        <v>0</v>
      </c>
      <c r="Z146" s="93">
        <v>46224</v>
      </c>
      <c r="AA146" s="90">
        <v>46265</v>
      </c>
      <c r="AB146" s="88">
        <v>0</v>
      </c>
      <c r="AC146" s="79" t="s">
        <v>49</v>
      </c>
      <c r="AD146" s="79" t="s">
        <v>49</v>
      </c>
      <c r="AE146" s="90"/>
      <c r="AF146" s="88">
        <v>0</v>
      </c>
      <c r="AG146" s="93" cm="1">
        <f t="array" ref="AG146">WORKDAY(AA146,2)</f>
        <v>46267</v>
      </c>
      <c r="AH146" s="90" cm="1">
        <f t="array" ref="AH146">WORKDAY(AG146,1)</f>
        <v>46268</v>
      </c>
      <c r="AI146" s="86" cm="1">
        <f t="array" ref="AI146">WORKDAY(AH146,1)</f>
        <v>46269</v>
      </c>
      <c r="AJ146" s="144"/>
      <c r="AK146" s="56"/>
    </row>
    <row r="147" spans="1:37" ht="25.5" customHeight="1">
      <c r="A147" s="140" cm="1">
        <f t="array" ref="A147">A146+1</f>
        <v>132</v>
      </c>
      <c r="B147" s="79" t="s">
        <v>285</v>
      </c>
      <c r="C147" s="97">
        <v>1</v>
      </c>
      <c r="D147" s="79" t="s">
        <v>270</v>
      </c>
      <c r="E147" s="79" t="s">
        <v>286</v>
      </c>
      <c r="F147" s="79"/>
      <c r="G147" s="80" t="s">
        <v>254</v>
      </c>
      <c r="H147" s="81">
        <v>42091</v>
      </c>
      <c r="I147" s="82">
        <v>64</v>
      </c>
      <c r="J147" s="98"/>
      <c r="K147" s="100">
        <v>0.35</v>
      </c>
      <c r="L147" s="84">
        <v>46099</v>
      </c>
      <c r="M147" s="85">
        <v>46139</v>
      </c>
      <c r="N147" s="86" cm="1">
        <f t="array" ref="N147">WORKDAY(M147,5)</f>
        <v>46146</v>
      </c>
      <c r="O147" s="87">
        <v>0</v>
      </c>
      <c r="P147" s="88">
        <v>0</v>
      </c>
      <c r="Q147" s="89">
        <v>46113</v>
      </c>
      <c r="R147" s="96">
        <v>46136</v>
      </c>
      <c r="S147" s="86" cm="1">
        <f t="array" ref="S147">WORKDAY(R147,10)</f>
        <v>46150</v>
      </c>
      <c r="T147" s="87">
        <v>0</v>
      </c>
      <c r="U147" s="91" t="s">
        <v>105</v>
      </c>
      <c r="V147" s="92">
        <v>0</v>
      </c>
      <c r="W147" s="93" cm="1">
        <f t="array" ref="W147">WORKDAY(X147,-20)</f>
        <v>46188</v>
      </c>
      <c r="X147" s="80" t="s">
        <v>287</v>
      </c>
      <c r="Y147" s="88">
        <v>0</v>
      </c>
      <c r="Z147" s="93">
        <v>46225</v>
      </c>
      <c r="AA147" s="90">
        <v>46265</v>
      </c>
      <c r="AB147" s="88">
        <v>0</v>
      </c>
      <c r="AC147" s="79" t="s">
        <v>49</v>
      </c>
      <c r="AD147" s="79" t="s">
        <v>49</v>
      </c>
      <c r="AE147" s="90"/>
      <c r="AF147" s="88">
        <v>0</v>
      </c>
      <c r="AG147" s="93" cm="1">
        <f t="array" ref="AG147">WORKDAY(AA147,2)</f>
        <v>46267</v>
      </c>
      <c r="AH147" s="90" cm="1">
        <f t="array" ref="AH147">WORKDAY(AG147,1)</f>
        <v>46268</v>
      </c>
      <c r="AI147" s="86" cm="1">
        <f t="array" ref="AI147">WORKDAY(AH147,1)</f>
        <v>46269</v>
      </c>
      <c r="AJ147" s="144"/>
      <c r="AK147" s="56"/>
    </row>
    <row r="148" spans="1:37" ht="25.5" customHeight="1">
      <c r="A148" s="140" cm="1">
        <f t="array" ref="A148">A147+1</f>
        <v>133</v>
      </c>
      <c r="B148" s="79" t="s">
        <v>1272</v>
      </c>
      <c r="C148" s="104">
        <v>2</v>
      </c>
      <c r="D148" s="79" t="s">
        <v>1156</v>
      </c>
      <c r="E148" s="79" t="s">
        <v>1273</v>
      </c>
      <c r="F148" s="79" t="s">
        <v>78</v>
      </c>
      <c r="G148" s="80" t="s">
        <v>1267</v>
      </c>
      <c r="H148" s="81">
        <v>93940</v>
      </c>
      <c r="I148" s="109"/>
      <c r="J148" s="110">
        <v>67</v>
      </c>
      <c r="K148" s="99" t="s">
        <v>126</v>
      </c>
      <c r="L148" s="84">
        <v>46099</v>
      </c>
      <c r="M148" s="85">
        <v>46115</v>
      </c>
      <c r="N148" s="86" cm="1">
        <f t="array" ref="N148">WORKDAY(M148,10)</f>
        <v>46129</v>
      </c>
      <c r="O148" s="87">
        <v>0</v>
      </c>
      <c r="P148" s="88">
        <v>0</v>
      </c>
      <c r="Q148" s="89">
        <v>46136</v>
      </c>
      <c r="R148" s="96">
        <v>46164</v>
      </c>
      <c r="S148" s="86" cm="1">
        <f t="array" ref="S148">WORKDAY(R148,10)</f>
        <v>46178</v>
      </c>
      <c r="T148" s="87">
        <v>0</v>
      </c>
      <c r="U148" s="91" t="s">
        <v>105</v>
      </c>
      <c r="V148" s="92">
        <v>0</v>
      </c>
      <c r="W148" s="93" cm="1">
        <f t="array" ref="W148">WORKDAY(X148,-20)</f>
        <v>46181</v>
      </c>
      <c r="X148" s="80" t="s">
        <v>272</v>
      </c>
      <c r="Y148" s="88">
        <v>0</v>
      </c>
      <c r="Z148" s="93">
        <v>46212</v>
      </c>
      <c r="AA148" s="90">
        <v>46265</v>
      </c>
      <c r="AB148" s="88">
        <v>0</v>
      </c>
      <c r="AC148" s="79" t="s">
        <v>49</v>
      </c>
      <c r="AD148" s="79" t="s">
        <v>49</v>
      </c>
      <c r="AE148" s="90"/>
      <c r="AF148" s="88">
        <v>0</v>
      </c>
      <c r="AG148" s="93" cm="1">
        <f t="array" ref="AG148">WORKDAY(AA148,2)</f>
        <v>46267</v>
      </c>
      <c r="AH148" s="90" cm="1">
        <f t="array" ref="AH148">WORKDAY(AG148,1)</f>
        <v>46268</v>
      </c>
      <c r="AI148" s="86" cm="1">
        <f t="array" ref="AI148">WORKDAY(AH148,1)</f>
        <v>46269</v>
      </c>
      <c r="AJ148" s="145"/>
      <c r="AK148" s="56"/>
    </row>
    <row r="149" spans="1:37" ht="25.5" customHeight="1">
      <c r="A149" s="140" cm="1">
        <f t="array" ref="A149">A148+1</f>
        <v>134</v>
      </c>
      <c r="B149" s="79" t="s">
        <v>1274</v>
      </c>
      <c r="C149" s="104">
        <v>2</v>
      </c>
      <c r="D149" s="79" t="s">
        <v>1156</v>
      </c>
      <c r="E149" s="79" t="s">
        <v>1275</v>
      </c>
      <c r="F149" s="79" t="s">
        <v>78</v>
      </c>
      <c r="G149" s="80" t="s">
        <v>1267</v>
      </c>
      <c r="H149" s="81">
        <v>67516</v>
      </c>
      <c r="I149" s="109"/>
      <c r="J149" s="110">
        <v>68</v>
      </c>
      <c r="K149" s="99" t="s">
        <v>126</v>
      </c>
      <c r="L149" s="105" cm="1">
        <f t="array" ref="L149">WORKDAY(M149,-10)</f>
        <v>46133</v>
      </c>
      <c r="M149" s="85">
        <v>46147</v>
      </c>
      <c r="N149" s="86" cm="1">
        <f t="array" ref="N149">WORKDAY(M149,10)</f>
        <v>46161</v>
      </c>
      <c r="O149" s="87">
        <v>0</v>
      </c>
      <c r="P149" s="88">
        <v>0</v>
      </c>
      <c r="Q149" s="89">
        <v>46136</v>
      </c>
      <c r="R149" s="96">
        <v>46164</v>
      </c>
      <c r="S149" s="86" cm="1">
        <f t="array" ref="S149">WORKDAY(R149,10)</f>
        <v>46178</v>
      </c>
      <c r="T149" s="87">
        <v>0</v>
      </c>
      <c r="U149" s="91" t="s">
        <v>105</v>
      </c>
      <c r="V149" s="92">
        <v>0</v>
      </c>
      <c r="W149" s="93" cm="1">
        <f t="array" ref="W149">WORKDAY(X149,-20)</f>
        <v>46182</v>
      </c>
      <c r="X149" s="80" t="s">
        <v>275</v>
      </c>
      <c r="Y149" s="88">
        <v>0</v>
      </c>
      <c r="Z149" s="93">
        <v>46213</v>
      </c>
      <c r="AA149" s="90">
        <v>46266</v>
      </c>
      <c r="AB149" s="88">
        <v>0</v>
      </c>
      <c r="AC149" s="79" t="s">
        <v>49</v>
      </c>
      <c r="AD149" s="79" t="s">
        <v>49</v>
      </c>
      <c r="AE149" s="90"/>
      <c r="AF149" s="88">
        <v>0</v>
      </c>
      <c r="AG149" s="93" cm="1">
        <f t="array" ref="AG149">WORKDAY(AA149,2)</f>
        <v>46268</v>
      </c>
      <c r="AH149" s="90" cm="1">
        <f t="array" ref="AH149">WORKDAY(AG149,1)</f>
        <v>46269</v>
      </c>
      <c r="AI149" s="86" cm="1">
        <f t="array" ref="AI149">WORKDAY(AH149,1)</f>
        <v>46272</v>
      </c>
      <c r="AJ149" s="145"/>
      <c r="AK149" s="56"/>
    </row>
    <row r="150" spans="1:37" ht="25.5" customHeight="1">
      <c r="A150" s="140" cm="1">
        <f t="array" ref="A150">A149+1</f>
        <v>135</v>
      </c>
      <c r="B150" s="79" t="s">
        <v>1276</v>
      </c>
      <c r="C150" s="104">
        <v>2</v>
      </c>
      <c r="D150" s="79" t="s">
        <v>1156</v>
      </c>
      <c r="E150" s="79" t="s">
        <v>1277</v>
      </c>
      <c r="F150" s="79" t="s">
        <v>78</v>
      </c>
      <c r="G150" s="80" t="s">
        <v>1267</v>
      </c>
      <c r="H150" s="81">
        <v>67516</v>
      </c>
      <c r="I150" s="109"/>
      <c r="J150" s="110">
        <v>69</v>
      </c>
      <c r="K150" s="99" t="s">
        <v>126</v>
      </c>
      <c r="L150" s="84">
        <v>46099</v>
      </c>
      <c r="M150" s="85">
        <v>46115</v>
      </c>
      <c r="N150" s="86" cm="1">
        <f t="array" ref="N150">WORKDAY(M150,10)</f>
        <v>46129</v>
      </c>
      <c r="O150" s="87">
        <v>0</v>
      </c>
      <c r="P150" s="88">
        <v>0</v>
      </c>
      <c r="Q150" s="89">
        <v>46136</v>
      </c>
      <c r="R150" s="96">
        <v>46164</v>
      </c>
      <c r="S150" s="86" cm="1">
        <f t="array" ref="S150">WORKDAY(R150,10)</f>
        <v>46178</v>
      </c>
      <c r="T150" s="87">
        <v>0</v>
      </c>
      <c r="U150" s="91" t="s">
        <v>105</v>
      </c>
      <c r="V150" s="92">
        <v>0</v>
      </c>
      <c r="W150" s="93" cm="1">
        <f t="array" ref="W150">WORKDAY(X150,-20)</f>
        <v>46183</v>
      </c>
      <c r="X150" s="80" t="s">
        <v>278</v>
      </c>
      <c r="Y150" s="88">
        <v>0</v>
      </c>
      <c r="Z150" s="93">
        <v>46216</v>
      </c>
      <c r="AA150" s="90">
        <v>46267</v>
      </c>
      <c r="AB150" s="88">
        <v>0</v>
      </c>
      <c r="AC150" s="79" t="s">
        <v>49</v>
      </c>
      <c r="AD150" s="79" t="s">
        <v>49</v>
      </c>
      <c r="AE150" s="90"/>
      <c r="AF150" s="88">
        <v>0</v>
      </c>
      <c r="AG150" s="93" cm="1">
        <f t="array" ref="AG150">WORKDAY(AA150,2)</f>
        <v>46269</v>
      </c>
      <c r="AH150" s="90" cm="1">
        <f t="array" ref="AH150">WORKDAY(AG150,1)</f>
        <v>46272</v>
      </c>
      <c r="AI150" s="86" cm="1">
        <f t="array" ref="AI150">WORKDAY(AH150,1)</f>
        <v>46273</v>
      </c>
      <c r="AJ150" s="145"/>
      <c r="AK150" s="56"/>
    </row>
    <row r="151" spans="1:37" ht="25.5" customHeight="1">
      <c r="A151" s="140" cm="1">
        <f t="array" ref="A151">A150+1</f>
        <v>136</v>
      </c>
      <c r="B151" s="79" t="s">
        <v>288</v>
      </c>
      <c r="C151" s="97">
        <v>1</v>
      </c>
      <c r="D151" s="79" t="s">
        <v>289</v>
      </c>
      <c r="E151" s="79" t="s">
        <v>290</v>
      </c>
      <c r="F151" s="79"/>
      <c r="G151" s="80" t="s">
        <v>254</v>
      </c>
      <c r="H151" s="81">
        <v>32373</v>
      </c>
      <c r="I151" s="82">
        <v>65</v>
      </c>
      <c r="J151" s="98"/>
      <c r="K151" s="100">
        <v>0.35</v>
      </c>
      <c r="L151" s="84">
        <v>46099</v>
      </c>
      <c r="M151" s="85">
        <v>46139</v>
      </c>
      <c r="N151" s="86" cm="1">
        <f t="array" ref="N151">WORKDAY(M151,5)</f>
        <v>46146</v>
      </c>
      <c r="O151" s="87">
        <v>0</v>
      </c>
      <c r="P151" s="88">
        <v>0</v>
      </c>
      <c r="Q151" s="89">
        <v>46113</v>
      </c>
      <c r="R151" s="96">
        <v>46136</v>
      </c>
      <c r="S151" s="86" cm="1">
        <f t="array" ref="S151">WORKDAY(R151,10)</f>
        <v>46150</v>
      </c>
      <c r="T151" s="87">
        <v>0</v>
      </c>
      <c r="U151" s="91" t="s">
        <v>105</v>
      </c>
      <c r="V151" s="92">
        <v>0</v>
      </c>
      <c r="W151" s="93" cm="1">
        <f t="array" ref="W151">WORKDAY(X151,-20)</f>
        <v>46189</v>
      </c>
      <c r="X151" s="80" t="s">
        <v>291</v>
      </c>
      <c r="Y151" s="88">
        <v>0</v>
      </c>
      <c r="Z151" s="93">
        <v>46226</v>
      </c>
      <c r="AA151" s="90">
        <v>46268</v>
      </c>
      <c r="AB151" s="88">
        <v>0</v>
      </c>
      <c r="AC151" s="79" t="s">
        <v>49</v>
      </c>
      <c r="AD151" s="79" t="s">
        <v>49</v>
      </c>
      <c r="AE151" s="90"/>
      <c r="AF151" s="88">
        <v>0</v>
      </c>
      <c r="AG151" s="93" cm="1">
        <f t="array" ref="AG151">WORKDAY(AA151,2)</f>
        <v>46272</v>
      </c>
      <c r="AH151" s="90" cm="1">
        <f t="array" ref="AH151">WORKDAY(AG151,1)</f>
        <v>46273</v>
      </c>
      <c r="AI151" s="86" cm="1">
        <f t="array" ref="AI151">WORKDAY(AH151,1)</f>
        <v>46274</v>
      </c>
      <c r="AJ151" s="144"/>
      <c r="AK151" s="56"/>
    </row>
    <row r="152" spans="1:37" ht="25.5" customHeight="1">
      <c r="A152" s="140" cm="1">
        <f t="array" ref="A152">A151+1</f>
        <v>137</v>
      </c>
      <c r="B152" s="79" t="s">
        <v>1278</v>
      </c>
      <c r="C152" s="104">
        <v>2</v>
      </c>
      <c r="D152" s="79" t="s">
        <v>1156</v>
      </c>
      <c r="E152" s="79" t="s">
        <v>1279</v>
      </c>
      <c r="F152" s="79" t="s">
        <v>78</v>
      </c>
      <c r="G152" s="80" t="s">
        <v>1267</v>
      </c>
      <c r="H152" s="81">
        <v>67516</v>
      </c>
      <c r="I152" s="109"/>
      <c r="J152" s="110">
        <v>70</v>
      </c>
      <c r="K152" s="107" t="s">
        <v>1125</v>
      </c>
      <c r="L152" s="84">
        <v>46099</v>
      </c>
      <c r="M152" s="85">
        <v>46115</v>
      </c>
      <c r="N152" s="86" cm="1">
        <f t="array" ref="N152">WORKDAY(M152,10)</f>
        <v>46129</v>
      </c>
      <c r="O152" s="87">
        <v>0</v>
      </c>
      <c r="P152" s="88">
        <v>0</v>
      </c>
      <c r="Q152" s="89">
        <v>46136</v>
      </c>
      <c r="R152" s="96">
        <v>46164</v>
      </c>
      <c r="S152" s="86" cm="1">
        <f t="array" ref="S152">WORKDAY(R152,10)</f>
        <v>46178</v>
      </c>
      <c r="T152" s="87">
        <v>0</v>
      </c>
      <c r="U152" s="91" t="s">
        <v>105</v>
      </c>
      <c r="V152" s="92">
        <v>0</v>
      </c>
      <c r="W152" s="93" cm="1">
        <f t="array" ref="W152">WORKDAY(X152,-20)</f>
        <v>46184</v>
      </c>
      <c r="X152" s="80" t="s">
        <v>281</v>
      </c>
      <c r="Y152" s="88">
        <v>0</v>
      </c>
      <c r="Z152" s="93">
        <v>46217</v>
      </c>
      <c r="AA152" s="90">
        <v>46268</v>
      </c>
      <c r="AB152" s="88">
        <v>0</v>
      </c>
      <c r="AC152" s="79" t="s">
        <v>49</v>
      </c>
      <c r="AD152" s="79" t="s">
        <v>49</v>
      </c>
      <c r="AE152" s="90"/>
      <c r="AF152" s="88">
        <v>0</v>
      </c>
      <c r="AG152" s="93" cm="1">
        <f t="array" ref="AG152">WORKDAY(AA152,2)</f>
        <v>46272</v>
      </c>
      <c r="AH152" s="90" cm="1">
        <f t="array" ref="AH152">WORKDAY(AG152,1)</f>
        <v>46273</v>
      </c>
      <c r="AI152" s="86" cm="1">
        <f t="array" ref="AI152">WORKDAY(AH152,1)</f>
        <v>46274</v>
      </c>
      <c r="AJ152" s="145"/>
      <c r="AK152" s="56"/>
    </row>
    <row r="153" spans="1:37" ht="25.5" customHeight="1">
      <c r="A153" s="140" cm="1">
        <f t="array" ref="A153">A152+1</f>
        <v>138</v>
      </c>
      <c r="B153" s="79" t="s">
        <v>292</v>
      </c>
      <c r="C153" s="97">
        <v>1</v>
      </c>
      <c r="D153" s="79" t="s">
        <v>289</v>
      </c>
      <c r="E153" s="79" t="s">
        <v>293</v>
      </c>
      <c r="F153" s="79"/>
      <c r="G153" s="80" t="s">
        <v>254</v>
      </c>
      <c r="H153" s="81">
        <v>32373</v>
      </c>
      <c r="I153" s="82">
        <v>66</v>
      </c>
      <c r="J153" s="98"/>
      <c r="K153" s="100">
        <v>0.35</v>
      </c>
      <c r="L153" s="84">
        <v>46099</v>
      </c>
      <c r="M153" s="85">
        <v>46139</v>
      </c>
      <c r="N153" s="86" cm="1">
        <f t="array" ref="N153">WORKDAY(M153,5)</f>
        <v>46146</v>
      </c>
      <c r="O153" s="87">
        <v>0</v>
      </c>
      <c r="P153" s="88">
        <v>0</v>
      </c>
      <c r="Q153" s="89">
        <v>46113</v>
      </c>
      <c r="R153" s="96">
        <v>46136</v>
      </c>
      <c r="S153" s="86" cm="1">
        <f t="array" ref="S153">WORKDAY(R153,10)</f>
        <v>46150</v>
      </c>
      <c r="T153" s="87">
        <v>0</v>
      </c>
      <c r="U153" s="91" t="s">
        <v>105</v>
      </c>
      <c r="V153" s="92">
        <v>0</v>
      </c>
      <c r="W153" s="93" cm="1">
        <f t="array" ref="W153">WORKDAY(X153,-20)</f>
        <v>46190</v>
      </c>
      <c r="X153" s="80" t="s">
        <v>294</v>
      </c>
      <c r="Y153" s="88">
        <v>0</v>
      </c>
      <c r="Z153" s="93">
        <v>46227</v>
      </c>
      <c r="AA153" s="90">
        <v>46269</v>
      </c>
      <c r="AB153" s="88">
        <v>0</v>
      </c>
      <c r="AC153" s="79" t="s">
        <v>49</v>
      </c>
      <c r="AD153" s="79" t="s">
        <v>49</v>
      </c>
      <c r="AE153" s="90"/>
      <c r="AF153" s="88">
        <v>0</v>
      </c>
      <c r="AG153" s="93" cm="1">
        <f t="array" ref="AG153">WORKDAY(AA153,2)</f>
        <v>46273</v>
      </c>
      <c r="AH153" s="90" cm="1">
        <f t="array" ref="AH153">WORKDAY(AG153,1)</f>
        <v>46274</v>
      </c>
      <c r="AI153" s="86" cm="1">
        <f t="array" ref="AI153">WORKDAY(AH153,1)</f>
        <v>46275</v>
      </c>
      <c r="AJ153" s="144"/>
      <c r="AK153" s="56"/>
    </row>
    <row r="154" spans="1:37" ht="25.5" customHeight="1">
      <c r="A154" s="140" cm="1">
        <f t="array" ref="A154">A153+1</f>
        <v>139</v>
      </c>
      <c r="B154" s="79" t="s">
        <v>311</v>
      </c>
      <c r="C154" s="97">
        <v>1</v>
      </c>
      <c r="D154" s="79" t="s">
        <v>111</v>
      </c>
      <c r="E154" s="79" t="s">
        <v>312</v>
      </c>
      <c r="F154" s="79"/>
      <c r="G154" s="80" t="s">
        <v>254</v>
      </c>
      <c r="H154" s="81">
        <v>32373</v>
      </c>
      <c r="I154" s="82">
        <v>72</v>
      </c>
      <c r="J154" s="98"/>
      <c r="K154" s="100">
        <v>0.35</v>
      </c>
      <c r="L154" s="84">
        <v>46099</v>
      </c>
      <c r="M154" s="85">
        <v>46139</v>
      </c>
      <c r="N154" s="86" cm="1">
        <f t="array" ref="N154">WORKDAY(M154,5)</f>
        <v>46146</v>
      </c>
      <c r="O154" s="87">
        <v>0</v>
      </c>
      <c r="P154" s="88">
        <v>0</v>
      </c>
      <c r="Q154" s="89">
        <v>46113</v>
      </c>
      <c r="R154" s="96">
        <v>46136</v>
      </c>
      <c r="S154" s="86" cm="1">
        <f t="array" ref="S154">WORKDAY(R154,10)</f>
        <v>46150</v>
      </c>
      <c r="T154" s="87">
        <v>0</v>
      </c>
      <c r="U154" s="91" t="s">
        <v>105</v>
      </c>
      <c r="V154" s="92">
        <v>0</v>
      </c>
      <c r="W154" s="93" cm="1">
        <f t="array" ref="W154">WORKDAY(X154,-20)</f>
        <v>46198</v>
      </c>
      <c r="X154" s="80" t="s">
        <v>313</v>
      </c>
      <c r="Y154" s="88">
        <v>0</v>
      </c>
      <c r="Z154" s="93">
        <v>46227</v>
      </c>
      <c r="AA154" s="90">
        <v>46269</v>
      </c>
      <c r="AB154" s="88">
        <v>0</v>
      </c>
      <c r="AC154" s="79" t="s">
        <v>49</v>
      </c>
      <c r="AD154" s="79" t="s">
        <v>49</v>
      </c>
      <c r="AE154" s="90"/>
      <c r="AF154" s="88">
        <v>0</v>
      </c>
      <c r="AG154" s="93" cm="1">
        <f t="array" ref="AG154">WORKDAY(AA154,2)</f>
        <v>46273</v>
      </c>
      <c r="AH154" s="90" cm="1">
        <f t="array" ref="AH154">WORKDAY(AG154,1)</f>
        <v>46274</v>
      </c>
      <c r="AI154" s="86" cm="1">
        <f t="array" ref="AI154">WORKDAY(AH154,1)</f>
        <v>46275</v>
      </c>
      <c r="AJ154" s="144"/>
      <c r="AK154" s="56"/>
    </row>
    <row r="155" spans="1:37" ht="25.5" customHeight="1">
      <c r="A155" s="140" cm="1">
        <f t="array" ref="A155">A154+1</f>
        <v>140</v>
      </c>
      <c r="B155" s="79" t="s">
        <v>1280</v>
      </c>
      <c r="C155" s="104">
        <v>2</v>
      </c>
      <c r="D155" s="79" t="s">
        <v>1153</v>
      </c>
      <c r="E155" s="79" t="s">
        <v>1281</v>
      </c>
      <c r="F155" s="79" t="s">
        <v>78</v>
      </c>
      <c r="G155" s="80" t="s">
        <v>1267</v>
      </c>
      <c r="H155" s="81">
        <v>67516</v>
      </c>
      <c r="I155" s="109"/>
      <c r="J155" s="110">
        <v>71</v>
      </c>
      <c r="K155" s="107" t="s">
        <v>1125</v>
      </c>
      <c r="L155" s="84">
        <v>46099</v>
      </c>
      <c r="M155" s="85">
        <v>46115</v>
      </c>
      <c r="N155" s="86" cm="1">
        <f t="array" ref="N155">WORKDAY(M155,10)</f>
        <v>46129</v>
      </c>
      <c r="O155" s="87">
        <v>0</v>
      </c>
      <c r="P155" s="88">
        <v>0</v>
      </c>
      <c r="Q155" s="89">
        <v>46136</v>
      </c>
      <c r="R155" s="96">
        <v>46164</v>
      </c>
      <c r="S155" s="86" cm="1">
        <f t="array" ref="S155">WORKDAY(R155,10)</f>
        <v>46178</v>
      </c>
      <c r="T155" s="87">
        <v>0</v>
      </c>
      <c r="U155" s="91" t="s">
        <v>105</v>
      </c>
      <c r="V155" s="92">
        <v>0</v>
      </c>
      <c r="W155" s="93" cm="1">
        <f t="array" ref="W155">WORKDAY(X155,-20)</f>
        <v>46185</v>
      </c>
      <c r="X155" s="80" t="s">
        <v>284</v>
      </c>
      <c r="Y155" s="88">
        <v>0</v>
      </c>
      <c r="Z155" s="93">
        <v>46218</v>
      </c>
      <c r="AA155" s="90">
        <v>46269</v>
      </c>
      <c r="AB155" s="88">
        <v>0</v>
      </c>
      <c r="AC155" s="79" t="s">
        <v>49</v>
      </c>
      <c r="AD155" s="79" t="s">
        <v>49</v>
      </c>
      <c r="AE155" s="90"/>
      <c r="AF155" s="88">
        <v>0</v>
      </c>
      <c r="AG155" s="93" cm="1">
        <f t="array" ref="AG155">WORKDAY(AA155,2)</f>
        <v>46273</v>
      </c>
      <c r="AH155" s="90" cm="1">
        <f t="array" ref="AH155">WORKDAY(AG155,1)</f>
        <v>46274</v>
      </c>
      <c r="AI155" s="86" cm="1">
        <f t="array" ref="AI155">WORKDAY(AH155,1)</f>
        <v>46275</v>
      </c>
      <c r="AJ155" s="145"/>
      <c r="AK155" s="56"/>
    </row>
    <row r="156" spans="1:37" ht="25.5" customHeight="1">
      <c r="A156" s="140" cm="1">
        <f t="array" ref="A156">A155+1</f>
        <v>141</v>
      </c>
      <c r="B156" s="79" t="s">
        <v>295</v>
      </c>
      <c r="C156" s="97">
        <v>1</v>
      </c>
      <c r="D156" s="79" t="s">
        <v>289</v>
      </c>
      <c r="E156" s="79" t="s">
        <v>296</v>
      </c>
      <c r="F156" s="79"/>
      <c r="G156" s="80" t="s">
        <v>254</v>
      </c>
      <c r="H156" s="81">
        <v>32373</v>
      </c>
      <c r="I156" s="82">
        <v>67</v>
      </c>
      <c r="J156" s="98"/>
      <c r="K156" s="100">
        <v>0.35</v>
      </c>
      <c r="L156" s="84">
        <v>46099</v>
      </c>
      <c r="M156" s="85">
        <v>46139</v>
      </c>
      <c r="N156" s="86" cm="1">
        <f t="array" ref="N156">WORKDAY(M156,5)</f>
        <v>46146</v>
      </c>
      <c r="O156" s="87">
        <v>0</v>
      </c>
      <c r="P156" s="88">
        <v>0</v>
      </c>
      <c r="Q156" s="89">
        <v>46113</v>
      </c>
      <c r="R156" s="96">
        <v>46136</v>
      </c>
      <c r="S156" s="86" cm="1">
        <f t="array" ref="S156">WORKDAY(R156,10)</f>
        <v>46150</v>
      </c>
      <c r="T156" s="87">
        <v>0</v>
      </c>
      <c r="U156" s="91" t="s">
        <v>105</v>
      </c>
      <c r="V156" s="92">
        <v>0</v>
      </c>
      <c r="W156" s="93" cm="1">
        <f t="array" ref="W156">WORKDAY(X156,-20)</f>
        <v>46191</v>
      </c>
      <c r="X156" s="80" t="s">
        <v>297</v>
      </c>
      <c r="Y156" s="88">
        <v>0</v>
      </c>
      <c r="Z156" s="93">
        <v>46230</v>
      </c>
      <c r="AA156" s="90">
        <v>46272</v>
      </c>
      <c r="AB156" s="88">
        <v>0</v>
      </c>
      <c r="AC156" s="79" t="s">
        <v>49</v>
      </c>
      <c r="AD156" s="79" t="s">
        <v>49</v>
      </c>
      <c r="AE156" s="90"/>
      <c r="AF156" s="88">
        <v>0</v>
      </c>
      <c r="AG156" s="93" cm="1">
        <f t="array" ref="AG156">WORKDAY(AA156,2)</f>
        <v>46274</v>
      </c>
      <c r="AH156" s="90" cm="1">
        <f t="array" ref="AH156">WORKDAY(AG156,1)</f>
        <v>46275</v>
      </c>
      <c r="AI156" s="86" cm="1">
        <f t="array" ref="AI156">WORKDAY(AH156,1)</f>
        <v>46276</v>
      </c>
      <c r="AJ156" s="144"/>
      <c r="AK156" s="56"/>
    </row>
    <row r="157" spans="1:37" ht="25.5" customHeight="1">
      <c r="A157" s="140" cm="1">
        <f t="array" ref="A157">A156+1</f>
        <v>142</v>
      </c>
      <c r="B157" s="79" t="s">
        <v>314</v>
      </c>
      <c r="C157" s="97">
        <v>1</v>
      </c>
      <c r="D157" s="79" t="s">
        <v>111</v>
      </c>
      <c r="E157" s="79" t="s">
        <v>315</v>
      </c>
      <c r="F157" s="79"/>
      <c r="G157" s="80" t="s">
        <v>254</v>
      </c>
      <c r="H157" s="81">
        <v>32373</v>
      </c>
      <c r="I157" s="82">
        <v>73</v>
      </c>
      <c r="J157" s="98"/>
      <c r="K157" s="100">
        <v>0.25</v>
      </c>
      <c r="L157" s="84">
        <v>46099</v>
      </c>
      <c r="M157" s="85">
        <v>46139</v>
      </c>
      <c r="N157" s="86" cm="1">
        <f t="array" ref="N157">WORKDAY(M157,5)</f>
        <v>46146</v>
      </c>
      <c r="O157" s="87">
        <v>0</v>
      </c>
      <c r="P157" s="88">
        <v>0</v>
      </c>
      <c r="Q157" s="89">
        <v>46113</v>
      </c>
      <c r="R157" s="96">
        <v>46136</v>
      </c>
      <c r="S157" s="86" cm="1">
        <f t="array" ref="S157">WORKDAY(R157,10)</f>
        <v>46150</v>
      </c>
      <c r="T157" s="87">
        <v>0</v>
      </c>
      <c r="U157" s="91" t="s">
        <v>114</v>
      </c>
      <c r="V157" s="92">
        <v>0</v>
      </c>
      <c r="W157" s="93" cm="1">
        <f t="array" ref="W157">WORKDAY(X157,-20)</f>
        <v>46178</v>
      </c>
      <c r="X157" s="90">
        <v>46206</v>
      </c>
      <c r="Y157" s="88">
        <v>0</v>
      </c>
      <c r="Z157" s="93">
        <v>46230</v>
      </c>
      <c r="AA157" s="90">
        <v>46272</v>
      </c>
      <c r="AB157" s="88">
        <v>0</v>
      </c>
      <c r="AC157" s="79" t="s">
        <v>49</v>
      </c>
      <c r="AD157" s="79" t="s">
        <v>49</v>
      </c>
      <c r="AE157" s="90"/>
      <c r="AF157" s="88">
        <v>0</v>
      </c>
      <c r="AG157" s="93" cm="1">
        <f t="array" ref="AG157">WORKDAY(AA157,2)</f>
        <v>46274</v>
      </c>
      <c r="AH157" s="90" cm="1">
        <f t="array" ref="AH157">WORKDAY(AG157,1)</f>
        <v>46275</v>
      </c>
      <c r="AI157" s="86" cm="1">
        <f t="array" ref="AI157">WORKDAY(AH157,1)</f>
        <v>46276</v>
      </c>
      <c r="AJ157" s="144"/>
      <c r="AK157" s="56"/>
    </row>
    <row r="158" spans="1:37" ht="25.5" customHeight="1">
      <c r="A158" s="140" cm="1">
        <f t="array" ref="A158">A157+1</f>
        <v>143</v>
      </c>
      <c r="B158" s="79" t="s">
        <v>316</v>
      </c>
      <c r="C158" s="97">
        <v>1</v>
      </c>
      <c r="D158" s="79" t="s">
        <v>111</v>
      </c>
      <c r="E158" s="79" t="s">
        <v>317</v>
      </c>
      <c r="F158" s="79"/>
      <c r="G158" s="80" t="s">
        <v>254</v>
      </c>
      <c r="H158" s="81">
        <v>32373</v>
      </c>
      <c r="I158" s="82">
        <v>74</v>
      </c>
      <c r="J158" s="98"/>
      <c r="K158" s="100">
        <v>0.25</v>
      </c>
      <c r="L158" s="84">
        <v>46099</v>
      </c>
      <c r="M158" s="85">
        <v>46139</v>
      </c>
      <c r="N158" s="86" cm="1">
        <f t="array" ref="N158">WORKDAY(M158,5)</f>
        <v>46146</v>
      </c>
      <c r="O158" s="87">
        <v>0</v>
      </c>
      <c r="P158" s="88">
        <v>0</v>
      </c>
      <c r="Q158" s="89">
        <v>46113</v>
      </c>
      <c r="R158" s="96">
        <v>46136</v>
      </c>
      <c r="S158" s="86" cm="1">
        <f t="array" ref="S158">WORKDAY(R158,10)</f>
        <v>46150</v>
      </c>
      <c r="T158" s="87">
        <v>0</v>
      </c>
      <c r="U158" s="91" t="s">
        <v>114</v>
      </c>
      <c r="V158" s="92">
        <v>0</v>
      </c>
      <c r="W158" s="93" cm="1">
        <f t="array" ref="W158">WORKDAY(X158,-20)</f>
        <v>46181</v>
      </c>
      <c r="X158" s="90">
        <v>46209</v>
      </c>
      <c r="Y158" s="88">
        <v>0</v>
      </c>
      <c r="Z158" s="93">
        <v>46230</v>
      </c>
      <c r="AA158" s="90">
        <v>46272</v>
      </c>
      <c r="AB158" s="88">
        <v>0</v>
      </c>
      <c r="AC158" s="79" t="s">
        <v>49</v>
      </c>
      <c r="AD158" s="79" t="s">
        <v>49</v>
      </c>
      <c r="AE158" s="90"/>
      <c r="AF158" s="88">
        <v>0</v>
      </c>
      <c r="AG158" s="93" cm="1">
        <f t="array" ref="AG158">WORKDAY(AA158,2)</f>
        <v>46274</v>
      </c>
      <c r="AH158" s="90" cm="1">
        <f t="array" ref="AH158">WORKDAY(AG158,1)</f>
        <v>46275</v>
      </c>
      <c r="AI158" s="86" cm="1">
        <f t="array" ref="AI158">WORKDAY(AH158,1)</f>
        <v>46276</v>
      </c>
      <c r="AJ158" s="144"/>
      <c r="AK158" s="56"/>
    </row>
    <row r="159" spans="1:37" ht="25.5" customHeight="1">
      <c r="A159" s="140" cm="1">
        <f t="array" ref="A159">A158+1</f>
        <v>144</v>
      </c>
      <c r="B159" s="79" t="s">
        <v>1282</v>
      </c>
      <c r="C159" s="104">
        <v>2</v>
      </c>
      <c r="D159" s="79" t="s">
        <v>1156</v>
      </c>
      <c r="E159" s="79" t="s">
        <v>1283</v>
      </c>
      <c r="F159" s="79" t="s">
        <v>78</v>
      </c>
      <c r="G159" s="80" t="s">
        <v>1267</v>
      </c>
      <c r="H159" s="81">
        <v>67516</v>
      </c>
      <c r="I159" s="109"/>
      <c r="J159" s="110">
        <v>72</v>
      </c>
      <c r="K159" s="99" t="s">
        <v>126</v>
      </c>
      <c r="L159" s="84">
        <v>46099</v>
      </c>
      <c r="M159" s="85">
        <v>46115</v>
      </c>
      <c r="N159" s="86" cm="1">
        <f t="array" ref="N159">WORKDAY(M159,10)</f>
        <v>46129</v>
      </c>
      <c r="O159" s="87">
        <v>0</v>
      </c>
      <c r="P159" s="88">
        <v>0</v>
      </c>
      <c r="Q159" s="89">
        <v>46136</v>
      </c>
      <c r="R159" s="96">
        <v>46164</v>
      </c>
      <c r="S159" s="86" cm="1">
        <f t="array" ref="S159">WORKDAY(R159,10)</f>
        <v>46178</v>
      </c>
      <c r="T159" s="87">
        <v>0</v>
      </c>
      <c r="U159" s="91" t="s">
        <v>105</v>
      </c>
      <c r="V159" s="92">
        <v>0</v>
      </c>
      <c r="W159" s="93" cm="1">
        <f t="array" ref="W159">WORKDAY(X159,-20)</f>
        <v>46188</v>
      </c>
      <c r="X159" s="80" t="s">
        <v>287</v>
      </c>
      <c r="Y159" s="88">
        <v>0</v>
      </c>
      <c r="Z159" s="93">
        <v>46219</v>
      </c>
      <c r="AA159" s="90">
        <v>46272</v>
      </c>
      <c r="AB159" s="88">
        <v>0</v>
      </c>
      <c r="AC159" s="79" t="s">
        <v>49</v>
      </c>
      <c r="AD159" s="79" t="s">
        <v>49</v>
      </c>
      <c r="AE159" s="90"/>
      <c r="AF159" s="88">
        <v>0</v>
      </c>
      <c r="AG159" s="93" cm="1">
        <f t="array" ref="AG159">WORKDAY(AA159,2)</f>
        <v>46274</v>
      </c>
      <c r="AH159" s="90" cm="1">
        <f t="array" ref="AH159">WORKDAY(AG159,1)</f>
        <v>46275</v>
      </c>
      <c r="AI159" s="86" cm="1">
        <f t="array" ref="AI159">WORKDAY(AH159,1)</f>
        <v>46276</v>
      </c>
      <c r="AJ159" s="145"/>
      <c r="AK159" s="56"/>
    </row>
    <row r="160" spans="1:37" ht="25.5" customHeight="1">
      <c r="A160" s="140" cm="1">
        <f t="array" ref="A160">A159+1</f>
        <v>145</v>
      </c>
      <c r="B160" s="79" t="s">
        <v>298</v>
      </c>
      <c r="C160" s="97">
        <v>1</v>
      </c>
      <c r="D160" s="79" t="s">
        <v>289</v>
      </c>
      <c r="E160" s="79" t="s">
        <v>299</v>
      </c>
      <c r="F160" s="79"/>
      <c r="G160" s="80" t="s">
        <v>254</v>
      </c>
      <c r="H160" s="81">
        <v>32373</v>
      </c>
      <c r="I160" s="82">
        <v>68</v>
      </c>
      <c r="J160" s="98"/>
      <c r="K160" s="100">
        <v>0.35</v>
      </c>
      <c r="L160" s="84">
        <v>46099</v>
      </c>
      <c r="M160" s="85">
        <v>46139</v>
      </c>
      <c r="N160" s="86" cm="1">
        <f t="array" ref="N160">WORKDAY(M160,5)</f>
        <v>46146</v>
      </c>
      <c r="O160" s="87">
        <v>0</v>
      </c>
      <c r="P160" s="88">
        <v>0</v>
      </c>
      <c r="Q160" s="89">
        <v>46113</v>
      </c>
      <c r="R160" s="96">
        <v>46136</v>
      </c>
      <c r="S160" s="86" cm="1">
        <f t="array" ref="S160">WORKDAY(R160,10)</f>
        <v>46150</v>
      </c>
      <c r="T160" s="87">
        <v>0</v>
      </c>
      <c r="U160" s="91" t="s">
        <v>105</v>
      </c>
      <c r="V160" s="92">
        <v>0</v>
      </c>
      <c r="W160" s="93" cm="1">
        <f t="array" ref="W160">WORKDAY(X160,-20)</f>
        <v>46192</v>
      </c>
      <c r="X160" s="80" t="s">
        <v>300</v>
      </c>
      <c r="Y160" s="88">
        <v>0</v>
      </c>
      <c r="Z160" s="93">
        <v>46231</v>
      </c>
      <c r="AA160" s="90">
        <v>46273</v>
      </c>
      <c r="AB160" s="88">
        <v>0</v>
      </c>
      <c r="AC160" s="79" t="s">
        <v>49</v>
      </c>
      <c r="AD160" s="79" t="s">
        <v>49</v>
      </c>
      <c r="AE160" s="90"/>
      <c r="AF160" s="88">
        <v>0</v>
      </c>
      <c r="AG160" s="93" cm="1">
        <f t="array" ref="AG160">WORKDAY(AA160,2)</f>
        <v>46275</v>
      </c>
      <c r="AH160" s="90" cm="1">
        <f t="array" ref="AH160">WORKDAY(AG160,1)</f>
        <v>46276</v>
      </c>
      <c r="AI160" s="86" cm="1">
        <f t="array" ref="AI160">WORKDAY(AH160,1)</f>
        <v>46279</v>
      </c>
      <c r="AJ160" s="144"/>
      <c r="AK160" s="56"/>
    </row>
    <row r="161" spans="1:37" ht="25.5" customHeight="1">
      <c r="A161" s="140" cm="1">
        <f t="array" ref="A161">A160+1</f>
        <v>146</v>
      </c>
      <c r="B161" s="79" t="s">
        <v>318</v>
      </c>
      <c r="C161" s="97">
        <v>1</v>
      </c>
      <c r="D161" s="79" t="s">
        <v>111</v>
      </c>
      <c r="E161" s="79" t="s">
        <v>319</v>
      </c>
      <c r="F161" s="79"/>
      <c r="G161" s="80" t="s">
        <v>254</v>
      </c>
      <c r="H161" s="81">
        <v>32373</v>
      </c>
      <c r="I161" s="82">
        <v>75</v>
      </c>
      <c r="J161" s="98"/>
      <c r="K161" s="100">
        <v>0.25</v>
      </c>
      <c r="L161" s="84">
        <v>46099</v>
      </c>
      <c r="M161" s="85">
        <v>46139</v>
      </c>
      <c r="N161" s="86" cm="1">
        <f t="array" ref="N161">WORKDAY(M161,5)</f>
        <v>46146</v>
      </c>
      <c r="O161" s="87">
        <v>0</v>
      </c>
      <c r="P161" s="88">
        <v>0</v>
      </c>
      <c r="Q161" s="89">
        <v>46113</v>
      </c>
      <c r="R161" s="96">
        <v>46136</v>
      </c>
      <c r="S161" s="86" cm="1">
        <f t="array" ref="S161">WORKDAY(R161,10)</f>
        <v>46150</v>
      </c>
      <c r="T161" s="87">
        <v>0</v>
      </c>
      <c r="U161" s="91" t="s">
        <v>114</v>
      </c>
      <c r="V161" s="92">
        <v>0</v>
      </c>
      <c r="W161" s="93" cm="1">
        <f t="array" ref="W161">WORKDAY(X161,-20)</f>
        <v>46182</v>
      </c>
      <c r="X161" s="90">
        <v>46210</v>
      </c>
      <c r="Y161" s="88">
        <v>0</v>
      </c>
      <c r="Z161" s="93">
        <v>46231</v>
      </c>
      <c r="AA161" s="90">
        <v>46273</v>
      </c>
      <c r="AB161" s="88">
        <v>0</v>
      </c>
      <c r="AC161" s="79" t="s">
        <v>49</v>
      </c>
      <c r="AD161" s="79" t="s">
        <v>49</v>
      </c>
      <c r="AE161" s="90"/>
      <c r="AF161" s="88">
        <v>0</v>
      </c>
      <c r="AG161" s="93" cm="1">
        <f t="array" ref="AG161">WORKDAY(AA161,2)</f>
        <v>46275</v>
      </c>
      <c r="AH161" s="90" cm="1">
        <f t="array" ref="AH161">WORKDAY(AG161,1)</f>
        <v>46276</v>
      </c>
      <c r="AI161" s="86" cm="1">
        <f t="array" ref="AI161">WORKDAY(AH161,1)</f>
        <v>46279</v>
      </c>
      <c r="AJ161" s="144"/>
      <c r="AK161" s="56"/>
    </row>
    <row r="162" spans="1:37" ht="25.5" customHeight="1">
      <c r="A162" s="140" cm="1">
        <f t="array" ref="A162">A161+1</f>
        <v>147</v>
      </c>
      <c r="B162" s="79" t="s">
        <v>320</v>
      </c>
      <c r="C162" s="97">
        <v>1</v>
      </c>
      <c r="D162" s="79" t="s">
        <v>111</v>
      </c>
      <c r="E162" s="79" t="s">
        <v>321</v>
      </c>
      <c r="F162" s="79"/>
      <c r="G162" s="80" t="s">
        <v>254</v>
      </c>
      <c r="H162" s="81">
        <v>32373</v>
      </c>
      <c r="I162" s="82">
        <v>76</v>
      </c>
      <c r="J162" s="98"/>
      <c r="K162" s="100">
        <v>0.25</v>
      </c>
      <c r="L162" s="84">
        <v>46099</v>
      </c>
      <c r="M162" s="85">
        <v>46139</v>
      </c>
      <c r="N162" s="86" cm="1">
        <f t="array" ref="N162">WORKDAY(M162,5)</f>
        <v>46146</v>
      </c>
      <c r="O162" s="87">
        <v>0</v>
      </c>
      <c r="P162" s="88">
        <v>0</v>
      </c>
      <c r="Q162" s="89">
        <v>46113</v>
      </c>
      <c r="R162" s="96">
        <v>46136</v>
      </c>
      <c r="S162" s="86" cm="1">
        <f t="array" ref="S162">WORKDAY(R162,10)</f>
        <v>46150</v>
      </c>
      <c r="T162" s="87">
        <v>0</v>
      </c>
      <c r="U162" s="91" t="s">
        <v>114</v>
      </c>
      <c r="V162" s="92">
        <v>0</v>
      </c>
      <c r="W162" s="93" cm="1">
        <f t="array" ref="W162">WORKDAY(X162,-20)</f>
        <v>46183</v>
      </c>
      <c r="X162" s="90">
        <v>46211</v>
      </c>
      <c r="Y162" s="88">
        <v>0</v>
      </c>
      <c r="Z162" s="93">
        <v>46231</v>
      </c>
      <c r="AA162" s="90">
        <v>46273</v>
      </c>
      <c r="AB162" s="88">
        <v>0</v>
      </c>
      <c r="AC162" s="79" t="s">
        <v>49</v>
      </c>
      <c r="AD162" s="79" t="s">
        <v>49</v>
      </c>
      <c r="AE162" s="90"/>
      <c r="AF162" s="88">
        <v>0</v>
      </c>
      <c r="AG162" s="93" cm="1">
        <f t="array" ref="AG162">WORKDAY(AA162,2)</f>
        <v>46275</v>
      </c>
      <c r="AH162" s="90" cm="1">
        <f t="array" ref="AH162">WORKDAY(AG162,1)</f>
        <v>46276</v>
      </c>
      <c r="AI162" s="86" cm="1">
        <f t="array" ref="AI162">WORKDAY(AH162,1)</f>
        <v>46279</v>
      </c>
      <c r="AJ162" s="144"/>
      <c r="AK162" s="56"/>
    </row>
    <row r="163" spans="1:37" ht="25.5" customHeight="1">
      <c r="A163" s="140" cm="1">
        <f t="array" ref="A163">A162+1</f>
        <v>148</v>
      </c>
      <c r="B163" s="79" t="s">
        <v>1284</v>
      </c>
      <c r="C163" s="104">
        <v>2</v>
      </c>
      <c r="D163" s="79" t="s">
        <v>1156</v>
      </c>
      <c r="E163" s="79" t="s">
        <v>1285</v>
      </c>
      <c r="F163" s="79" t="s">
        <v>78</v>
      </c>
      <c r="G163" s="80" t="s">
        <v>1267</v>
      </c>
      <c r="H163" s="81">
        <v>67516</v>
      </c>
      <c r="I163" s="109"/>
      <c r="J163" s="110">
        <v>73</v>
      </c>
      <c r="K163" s="99" t="s">
        <v>126</v>
      </c>
      <c r="L163" s="84">
        <v>46099</v>
      </c>
      <c r="M163" s="85">
        <v>46115</v>
      </c>
      <c r="N163" s="86" cm="1">
        <f t="array" ref="N163">WORKDAY(M163,10)</f>
        <v>46129</v>
      </c>
      <c r="O163" s="87">
        <v>0</v>
      </c>
      <c r="P163" s="88">
        <v>0</v>
      </c>
      <c r="Q163" s="89">
        <v>46136</v>
      </c>
      <c r="R163" s="96">
        <v>46164</v>
      </c>
      <c r="S163" s="86" cm="1">
        <f t="array" ref="S163">WORKDAY(R163,10)</f>
        <v>46178</v>
      </c>
      <c r="T163" s="87">
        <v>0</v>
      </c>
      <c r="U163" s="91" t="s">
        <v>105</v>
      </c>
      <c r="V163" s="92">
        <v>0</v>
      </c>
      <c r="W163" s="93" cm="1">
        <f t="array" ref="W163">WORKDAY(X163,-20)</f>
        <v>46189</v>
      </c>
      <c r="X163" s="80" t="s">
        <v>291</v>
      </c>
      <c r="Y163" s="88">
        <v>0</v>
      </c>
      <c r="Z163" s="93">
        <v>46220</v>
      </c>
      <c r="AA163" s="90">
        <v>46273</v>
      </c>
      <c r="AB163" s="88">
        <v>0</v>
      </c>
      <c r="AC163" s="79" t="s">
        <v>49</v>
      </c>
      <c r="AD163" s="79" t="s">
        <v>49</v>
      </c>
      <c r="AE163" s="90"/>
      <c r="AF163" s="88">
        <v>0</v>
      </c>
      <c r="AG163" s="93" cm="1">
        <f t="array" ref="AG163">WORKDAY(AA163,2)</f>
        <v>46275</v>
      </c>
      <c r="AH163" s="90" cm="1">
        <f t="array" ref="AH163">WORKDAY(AG163,1)</f>
        <v>46276</v>
      </c>
      <c r="AI163" s="86" cm="1">
        <f t="array" ref="AI163">WORKDAY(AH163,1)</f>
        <v>46279</v>
      </c>
      <c r="AJ163" s="145"/>
      <c r="AK163" s="56"/>
    </row>
    <row r="164" spans="1:37" ht="25.5" customHeight="1">
      <c r="A164" s="140" cm="1">
        <f t="array" ref="A164">A163+1</f>
        <v>149</v>
      </c>
      <c r="B164" s="79" t="s">
        <v>301</v>
      </c>
      <c r="C164" s="97">
        <v>1</v>
      </c>
      <c r="D164" s="79" t="s">
        <v>289</v>
      </c>
      <c r="E164" s="79" t="s">
        <v>302</v>
      </c>
      <c r="F164" s="79"/>
      <c r="G164" s="80" t="s">
        <v>254</v>
      </c>
      <c r="H164" s="81">
        <v>32373</v>
      </c>
      <c r="I164" s="82">
        <v>69</v>
      </c>
      <c r="J164" s="98"/>
      <c r="K164" s="100">
        <v>0.35</v>
      </c>
      <c r="L164" s="84">
        <v>46099</v>
      </c>
      <c r="M164" s="85">
        <v>46139</v>
      </c>
      <c r="N164" s="86" cm="1">
        <f t="array" ref="N164">WORKDAY(M164,5)</f>
        <v>46146</v>
      </c>
      <c r="O164" s="87">
        <v>0</v>
      </c>
      <c r="P164" s="88">
        <v>0</v>
      </c>
      <c r="Q164" s="89">
        <v>46113</v>
      </c>
      <c r="R164" s="96">
        <v>46136</v>
      </c>
      <c r="S164" s="86" cm="1">
        <f t="array" ref="S164">WORKDAY(R164,10)</f>
        <v>46150</v>
      </c>
      <c r="T164" s="87">
        <v>0</v>
      </c>
      <c r="U164" s="91" t="s">
        <v>105</v>
      </c>
      <c r="V164" s="92">
        <v>0</v>
      </c>
      <c r="W164" s="93" cm="1">
        <f t="array" ref="W164">WORKDAY(X164,-20)</f>
        <v>46195</v>
      </c>
      <c r="X164" s="80" t="s">
        <v>303</v>
      </c>
      <c r="Y164" s="88">
        <v>0</v>
      </c>
      <c r="Z164" s="93">
        <v>46232</v>
      </c>
      <c r="AA164" s="90">
        <v>46274</v>
      </c>
      <c r="AB164" s="88">
        <v>0</v>
      </c>
      <c r="AC164" s="79" t="s">
        <v>49</v>
      </c>
      <c r="AD164" s="79" t="s">
        <v>49</v>
      </c>
      <c r="AE164" s="90"/>
      <c r="AF164" s="88">
        <v>0</v>
      </c>
      <c r="AG164" s="93" cm="1">
        <f t="array" ref="AG164">WORKDAY(AA164,2)</f>
        <v>46276</v>
      </c>
      <c r="AH164" s="90" cm="1">
        <f t="array" ref="AH164">WORKDAY(AG164,1)</f>
        <v>46279</v>
      </c>
      <c r="AI164" s="86" cm="1">
        <f t="array" ref="AI164">WORKDAY(AH164,1)</f>
        <v>46280</v>
      </c>
      <c r="AJ164" s="144"/>
      <c r="AK164" s="56"/>
    </row>
    <row r="165" spans="1:37" ht="25.5" customHeight="1">
      <c r="A165" s="140" cm="1">
        <f t="array" ref="A165">A164+1</f>
        <v>150</v>
      </c>
      <c r="B165" s="79" t="s">
        <v>322</v>
      </c>
      <c r="C165" s="97">
        <v>1</v>
      </c>
      <c r="D165" s="79" t="s">
        <v>111</v>
      </c>
      <c r="E165" s="79" t="s">
        <v>323</v>
      </c>
      <c r="F165" s="79"/>
      <c r="G165" s="80" t="s">
        <v>254</v>
      </c>
      <c r="H165" s="81">
        <v>32373</v>
      </c>
      <c r="I165" s="82">
        <v>77</v>
      </c>
      <c r="J165" s="98"/>
      <c r="K165" s="100">
        <v>0.25</v>
      </c>
      <c r="L165" s="84">
        <v>46099</v>
      </c>
      <c r="M165" s="85">
        <v>46139</v>
      </c>
      <c r="N165" s="86" cm="1">
        <f t="array" ref="N165">WORKDAY(M165,5)</f>
        <v>46146</v>
      </c>
      <c r="O165" s="87">
        <v>0</v>
      </c>
      <c r="P165" s="88">
        <v>0</v>
      </c>
      <c r="Q165" s="89">
        <v>46113</v>
      </c>
      <c r="R165" s="96">
        <v>46136</v>
      </c>
      <c r="S165" s="86" cm="1">
        <f t="array" ref="S165">WORKDAY(R165,10)</f>
        <v>46150</v>
      </c>
      <c r="T165" s="87">
        <v>0</v>
      </c>
      <c r="U165" s="91" t="s">
        <v>114</v>
      </c>
      <c r="V165" s="92">
        <v>0</v>
      </c>
      <c r="W165" s="93" cm="1">
        <f t="array" ref="W165">WORKDAY(X165,-20)</f>
        <v>46184</v>
      </c>
      <c r="X165" s="90">
        <v>46212</v>
      </c>
      <c r="Y165" s="88">
        <v>0</v>
      </c>
      <c r="Z165" s="93">
        <v>46232</v>
      </c>
      <c r="AA165" s="90">
        <v>46274</v>
      </c>
      <c r="AB165" s="88">
        <v>0</v>
      </c>
      <c r="AC165" s="79" t="s">
        <v>49</v>
      </c>
      <c r="AD165" s="79" t="s">
        <v>49</v>
      </c>
      <c r="AE165" s="90"/>
      <c r="AF165" s="88">
        <v>0</v>
      </c>
      <c r="AG165" s="93" cm="1">
        <f t="array" ref="AG165">WORKDAY(AA165,2)</f>
        <v>46276</v>
      </c>
      <c r="AH165" s="90" cm="1">
        <f t="array" ref="AH165">WORKDAY(AG165,1)</f>
        <v>46279</v>
      </c>
      <c r="AI165" s="86" cm="1">
        <f t="array" ref="AI165">WORKDAY(AH165,1)</f>
        <v>46280</v>
      </c>
      <c r="AJ165" s="144"/>
      <c r="AK165" s="56"/>
    </row>
    <row r="166" spans="1:37" ht="25.5" customHeight="1">
      <c r="A166" s="140" cm="1">
        <f t="array" ref="A166">A165+1</f>
        <v>151</v>
      </c>
      <c r="B166" s="79" t="s">
        <v>324</v>
      </c>
      <c r="C166" s="97">
        <v>1</v>
      </c>
      <c r="D166" s="79" t="s">
        <v>325</v>
      </c>
      <c r="E166" s="79" t="s">
        <v>326</v>
      </c>
      <c r="F166" s="79"/>
      <c r="G166" s="80" t="s">
        <v>327</v>
      </c>
      <c r="H166" s="81">
        <v>56430</v>
      </c>
      <c r="I166" s="82">
        <v>78</v>
      </c>
      <c r="J166" s="98"/>
      <c r="K166" s="100">
        <v>0.25</v>
      </c>
      <c r="L166" s="84">
        <v>46099</v>
      </c>
      <c r="M166" s="85">
        <v>46142</v>
      </c>
      <c r="N166" s="86" cm="1">
        <f t="array" ref="N166">WORKDAY(M166,5)</f>
        <v>46149</v>
      </c>
      <c r="O166" s="87">
        <v>0</v>
      </c>
      <c r="P166" s="88">
        <v>0</v>
      </c>
      <c r="Q166" s="89">
        <v>46113</v>
      </c>
      <c r="R166" s="96">
        <v>46136</v>
      </c>
      <c r="S166" s="86" cm="1">
        <f t="array" ref="S166">WORKDAY(R166,10)</f>
        <v>46150</v>
      </c>
      <c r="T166" s="87">
        <v>0</v>
      </c>
      <c r="U166" s="91" t="s">
        <v>114</v>
      </c>
      <c r="V166" s="92">
        <v>0</v>
      </c>
      <c r="W166" s="93" cm="1">
        <f t="array" ref="W166">WORKDAY(X166,-20)</f>
        <v>46185</v>
      </c>
      <c r="X166" s="90">
        <v>46213</v>
      </c>
      <c r="Y166" s="88">
        <v>0</v>
      </c>
      <c r="Z166" s="93">
        <v>46232</v>
      </c>
      <c r="AA166" s="90">
        <v>46274</v>
      </c>
      <c r="AB166" s="88">
        <v>0</v>
      </c>
      <c r="AC166" s="79" t="s">
        <v>49</v>
      </c>
      <c r="AD166" s="79" t="s">
        <v>49</v>
      </c>
      <c r="AE166" s="90"/>
      <c r="AF166" s="88">
        <v>0</v>
      </c>
      <c r="AG166" s="93" cm="1">
        <f t="array" ref="AG166">WORKDAY(AA166,2)</f>
        <v>46276</v>
      </c>
      <c r="AH166" s="90" cm="1">
        <f t="array" ref="AH166">WORKDAY(AG166,1)</f>
        <v>46279</v>
      </c>
      <c r="AI166" s="86" cm="1">
        <f t="array" ref="AI166">WORKDAY(AH166,1)</f>
        <v>46280</v>
      </c>
      <c r="AJ166" s="144"/>
      <c r="AK166" s="56"/>
    </row>
    <row r="167" spans="1:37" ht="25.5" customHeight="1">
      <c r="A167" s="140" cm="1">
        <f t="array" ref="A167">A166+1</f>
        <v>152</v>
      </c>
      <c r="B167" s="79" t="s">
        <v>1286</v>
      </c>
      <c r="C167" s="104">
        <v>2</v>
      </c>
      <c r="D167" s="79" t="s">
        <v>1156</v>
      </c>
      <c r="E167" s="79" t="s">
        <v>1287</v>
      </c>
      <c r="F167" s="79" t="s">
        <v>78</v>
      </c>
      <c r="G167" s="80" t="s">
        <v>1267</v>
      </c>
      <c r="H167" s="81">
        <v>67516</v>
      </c>
      <c r="I167" s="109"/>
      <c r="J167" s="110">
        <v>74</v>
      </c>
      <c r="K167" s="99" t="s">
        <v>126</v>
      </c>
      <c r="L167" s="84">
        <v>46099</v>
      </c>
      <c r="M167" s="85">
        <v>46115</v>
      </c>
      <c r="N167" s="86" cm="1">
        <f t="array" ref="N167">WORKDAY(M167,10)</f>
        <v>46129</v>
      </c>
      <c r="O167" s="87">
        <v>0</v>
      </c>
      <c r="P167" s="88">
        <v>0</v>
      </c>
      <c r="Q167" s="89">
        <v>46136</v>
      </c>
      <c r="R167" s="96">
        <v>46164</v>
      </c>
      <c r="S167" s="86" cm="1">
        <f t="array" ref="S167">WORKDAY(R167,10)</f>
        <v>46178</v>
      </c>
      <c r="T167" s="87">
        <v>0</v>
      </c>
      <c r="U167" s="91" t="s">
        <v>105</v>
      </c>
      <c r="V167" s="92">
        <v>0</v>
      </c>
      <c r="W167" s="93" cm="1">
        <f t="array" ref="W167">WORKDAY(X167,-20)</f>
        <v>46190</v>
      </c>
      <c r="X167" s="80" t="s">
        <v>294</v>
      </c>
      <c r="Y167" s="88">
        <v>0</v>
      </c>
      <c r="Z167" s="93">
        <v>46223</v>
      </c>
      <c r="AA167" s="90">
        <v>46274</v>
      </c>
      <c r="AB167" s="88">
        <v>0</v>
      </c>
      <c r="AC167" s="79" t="s">
        <v>49</v>
      </c>
      <c r="AD167" s="79" t="s">
        <v>49</v>
      </c>
      <c r="AE167" s="90"/>
      <c r="AF167" s="88">
        <v>0</v>
      </c>
      <c r="AG167" s="93" cm="1">
        <f t="array" ref="AG167">WORKDAY(AA167,2)</f>
        <v>46276</v>
      </c>
      <c r="AH167" s="90" cm="1">
        <f t="array" ref="AH167">WORKDAY(AG167,1)</f>
        <v>46279</v>
      </c>
      <c r="AI167" s="86" cm="1">
        <f t="array" ref="AI167">WORKDAY(AH167,1)</f>
        <v>46280</v>
      </c>
      <c r="AJ167" s="145"/>
      <c r="AK167" s="56"/>
    </row>
    <row r="168" spans="1:37" ht="25.5" customHeight="1">
      <c r="A168" s="140" cm="1">
        <f t="array" ref="A168">A167+1</f>
        <v>153</v>
      </c>
      <c r="B168" s="79" t="s">
        <v>304</v>
      </c>
      <c r="C168" s="97">
        <v>1</v>
      </c>
      <c r="D168" s="79" t="s">
        <v>289</v>
      </c>
      <c r="E168" s="79" t="s">
        <v>305</v>
      </c>
      <c r="F168" s="79"/>
      <c r="G168" s="80" t="s">
        <v>254</v>
      </c>
      <c r="H168" s="81">
        <v>32373</v>
      </c>
      <c r="I168" s="82">
        <v>70</v>
      </c>
      <c r="J168" s="98"/>
      <c r="K168" s="100">
        <v>0.35</v>
      </c>
      <c r="L168" s="84">
        <v>46099</v>
      </c>
      <c r="M168" s="85">
        <v>46139</v>
      </c>
      <c r="N168" s="86" cm="1">
        <f t="array" ref="N168">WORKDAY(M168,5)</f>
        <v>46146</v>
      </c>
      <c r="O168" s="87">
        <v>0</v>
      </c>
      <c r="P168" s="88">
        <v>0</v>
      </c>
      <c r="Q168" s="89">
        <v>46113</v>
      </c>
      <c r="R168" s="96">
        <v>46136</v>
      </c>
      <c r="S168" s="86" cm="1">
        <f t="array" ref="S168">WORKDAY(R168,10)</f>
        <v>46150</v>
      </c>
      <c r="T168" s="87">
        <v>0</v>
      </c>
      <c r="U168" s="91" t="s">
        <v>105</v>
      </c>
      <c r="V168" s="92">
        <v>0</v>
      </c>
      <c r="W168" s="93" cm="1">
        <f t="array" ref="W168">WORKDAY(X168,-20)</f>
        <v>46196</v>
      </c>
      <c r="X168" s="80" t="s">
        <v>306</v>
      </c>
      <c r="Y168" s="88">
        <v>0</v>
      </c>
      <c r="Z168" s="93">
        <v>46233</v>
      </c>
      <c r="AA168" s="90">
        <v>46275</v>
      </c>
      <c r="AB168" s="88">
        <v>0</v>
      </c>
      <c r="AC168" s="79" t="s">
        <v>49</v>
      </c>
      <c r="AD168" s="79" t="s">
        <v>49</v>
      </c>
      <c r="AE168" s="90"/>
      <c r="AF168" s="88">
        <v>0</v>
      </c>
      <c r="AG168" s="93" cm="1">
        <f t="array" ref="AG168">WORKDAY(AA168,2)</f>
        <v>46279</v>
      </c>
      <c r="AH168" s="90" cm="1">
        <f t="array" ref="AH168">WORKDAY(AG168,1)</f>
        <v>46280</v>
      </c>
      <c r="AI168" s="86" cm="1">
        <f t="array" ref="AI168">WORKDAY(AH168,1)</f>
        <v>46281</v>
      </c>
      <c r="AJ168" s="144"/>
      <c r="AK168" s="56"/>
    </row>
    <row r="169" spans="1:37" ht="25.5" customHeight="1">
      <c r="A169" s="140" cm="1">
        <f t="array" ref="A169">A168+1</f>
        <v>154</v>
      </c>
      <c r="B169" s="79" t="s">
        <v>328</v>
      </c>
      <c r="C169" s="97">
        <v>1</v>
      </c>
      <c r="D169" s="79" t="s">
        <v>325</v>
      </c>
      <c r="E169" s="79" t="s">
        <v>329</v>
      </c>
      <c r="F169" s="79"/>
      <c r="G169" s="80" t="s">
        <v>327</v>
      </c>
      <c r="H169" s="81">
        <v>56430</v>
      </c>
      <c r="I169" s="82">
        <v>79</v>
      </c>
      <c r="J169" s="98"/>
      <c r="K169" s="100">
        <v>0.25</v>
      </c>
      <c r="L169" s="84">
        <v>46099</v>
      </c>
      <c r="M169" s="85">
        <v>46142</v>
      </c>
      <c r="N169" s="86" cm="1">
        <f t="array" ref="N169">WORKDAY(M169,5)</f>
        <v>46149</v>
      </c>
      <c r="O169" s="87">
        <v>0</v>
      </c>
      <c r="P169" s="88">
        <v>0</v>
      </c>
      <c r="Q169" s="89">
        <v>46113</v>
      </c>
      <c r="R169" s="96">
        <v>46136</v>
      </c>
      <c r="S169" s="86" cm="1">
        <f t="array" ref="S169">WORKDAY(R169,10)</f>
        <v>46150</v>
      </c>
      <c r="T169" s="87">
        <v>0</v>
      </c>
      <c r="U169" s="91" t="s">
        <v>114</v>
      </c>
      <c r="V169" s="92">
        <v>0</v>
      </c>
      <c r="W169" s="93" cm="1">
        <f t="array" ref="W169">WORKDAY(X169,-20)</f>
        <v>46188</v>
      </c>
      <c r="X169" s="90">
        <v>46216</v>
      </c>
      <c r="Y169" s="88">
        <v>0</v>
      </c>
      <c r="Z169" s="93">
        <v>46233</v>
      </c>
      <c r="AA169" s="90">
        <v>46275</v>
      </c>
      <c r="AB169" s="88">
        <v>0</v>
      </c>
      <c r="AC169" s="79" t="s">
        <v>49</v>
      </c>
      <c r="AD169" s="79" t="s">
        <v>49</v>
      </c>
      <c r="AE169" s="90"/>
      <c r="AF169" s="88">
        <v>0</v>
      </c>
      <c r="AG169" s="93" cm="1">
        <f t="array" ref="AG169">WORKDAY(AA169,2)</f>
        <v>46279</v>
      </c>
      <c r="AH169" s="90" cm="1">
        <f t="array" ref="AH169">WORKDAY(AG169,1)</f>
        <v>46280</v>
      </c>
      <c r="AI169" s="86" cm="1">
        <f t="array" ref="AI169">WORKDAY(AH169,1)</f>
        <v>46281</v>
      </c>
      <c r="AJ169" s="144"/>
      <c r="AK169" s="56"/>
    </row>
    <row r="170" spans="1:37" ht="25.5" customHeight="1">
      <c r="A170" s="140" cm="1">
        <f t="array" ref="A170">A169+1</f>
        <v>155</v>
      </c>
      <c r="B170" s="79" t="s">
        <v>330</v>
      </c>
      <c r="C170" s="97">
        <v>1</v>
      </c>
      <c r="D170" s="79" t="s">
        <v>325</v>
      </c>
      <c r="E170" s="79" t="s">
        <v>331</v>
      </c>
      <c r="F170" s="79"/>
      <c r="G170" s="80" t="s">
        <v>327</v>
      </c>
      <c r="H170" s="81">
        <v>56430</v>
      </c>
      <c r="I170" s="82">
        <v>80</v>
      </c>
      <c r="J170" s="98"/>
      <c r="K170" s="100">
        <v>0.25</v>
      </c>
      <c r="L170" s="84">
        <v>46099</v>
      </c>
      <c r="M170" s="85">
        <v>46142</v>
      </c>
      <c r="N170" s="86" cm="1">
        <f t="array" ref="N170">WORKDAY(M170,5)</f>
        <v>46149</v>
      </c>
      <c r="O170" s="87">
        <v>0</v>
      </c>
      <c r="P170" s="88">
        <v>0</v>
      </c>
      <c r="Q170" s="89">
        <v>46113</v>
      </c>
      <c r="R170" s="96">
        <v>46136</v>
      </c>
      <c r="S170" s="86" cm="1">
        <f t="array" ref="S170">WORKDAY(R170,10)</f>
        <v>46150</v>
      </c>
      <c r="T170" s="87">
        <v>0</v>
      </c>
      <c r="U170" s="91" t="s">
        <v>114</v>
      </c>
      <c r="V170" s="92">
        <v>0</v>
      </c>
      <c r="W170" s="93" cm="1">
        <f t="array" ref="W170">WORKDAY(X170,-20)</f>
        <v>46189</v>
      </c>
      <c r="X170" s="90">
        <v>46217</v>
      </c>
      <c r="Y170" s="88">
        <v>0</v>
      </c>
      <c r="Z170" s="93">
        <v>46233</v>
      </c>
      <c r="AA170" s="90">
        <v>46275</v>
      </c>
      <c r="AB170" s="88">
        <v>0</v>
      </c>
      <c r="AC170" s="79" t="s">
        <v>49</v>
      </c>
      <c r="AD170" s="79" t="s">
        <v>49</v>
      </c>
      <c r="AE170" s="90"/>
      <c r="AF170" s="88">
        <v>0</v>
      </c>
      <c r="AG170" s="93" cm="1">
        <f t="array" ref="AG170">WORKDAY(AA170,2)</f>
        <v>46279</v>
      </c>
      <c r="AH170" s="90" cm="1">
        <f t="array" ref="AH170">WORKDAY(AG170,1)</f>
        <v>46280</v>
      </c>
      <c r="AI170" s="86" cm="1">
        <f t="array" ref="AI170">WORKDAY(AH170,1)</f>
        <v>46281</v>
      </c>
      <c r="AJ170" s="144"/>
      <c r="AK170" s="56"/>
    </row>
    <row r="171" spans="1:37" ht="25.5" customHeight="1">
      <c r="A171" s="140" cm="1">
        <f t="array" ref="A171">A170+1</f>
        <v>156</v>
      </c>
      <c r="B171" s="79" t="s">
        <v>1288</v>
      </c>
      <c r="C171" s="104">
        <v>2</v>
      </c>
      <c r="D171" s="79" t="s">
        <v>1156</v>
      </c>
      <c r="E171" s="79" t="s">
        <v>1289</v>
      </c>
      <c r="F171" s="79" t="s">
        <v>78</v>
      </c>
      <c r="G171" s="80" t="s">
        <v>1267</v>
      </c>
      <c r="H171" s="81">
        <v>67516</v>
      </c>
      <c r="I171" s="109"/>
      <c r="J171" s="110">
        <v>75</v>
      </c>
      <c r="K171" s="99" t="s">
        <v>126</v>
      </c>
      <c r="L171" s="105" cm="1">
        <f t="array" ref="L171">WORKDAY(M171,-10)</f>
        <v>46133</v>
      </c>
      <c r="M171" s="85">
        <v>46147</v>
      </c>
      <c r="N171" s="86" cm="1">
        <f t="array" ref="N171">WORKDAY(M171,10)</f>
        <v>46161</v>
      </c>
      <c r="O171" s="87">
        <v>0</v>
      </c>
      <c r="P171" s="88">
        <v>0</v>
      </c>
      <c r="Q171" s="89">
        <v>46136</v>
      </c>
      <c r="R171" s="96">
        <v>46164</v>
      </c>
      <c r="S171" s="86" cm="1">
        <f t="array" ref="S171">WORKDAY(R171,10)</f>
        <v>46178</v>
      </c>
      <c r="T171" s="87">
        <v>0</v>
      </c>
      <c r="U171" s="91" t="s">
        <v>105</v>
      </c>
      <c r="V171" s="92">
        <v>0</v>
      </c>
      <c r="W171" s="93" cm="1">
        <f t="array" ref="W171">WORKDAY(X171,-20)</f>
        <v>46191</v>
      </c>
      <c r="X171" s="80" t="s">
        <v>297</v>
      </c>
      <c r="Y171" s="88">
        <v>0</v>
      </c>
      <c r="Z171" s="93">
        <v>46224</v>
      </c>
      <c r="AA171" s="90">
        <v>46275</v>
      </c>
      <c r="AB171" s="88">
        <v>0</v>
      </c>
      <c r="AC171" s="79" t="s">
        <v>49</v>
      </c>
      <c r="AD171" s="79" t="s">
        <v>49</v>
      </c>
      <c r="AE171" s="90"/>
      <c r="AF171" s="88">
        <v>0</v>
      </c>
      <c r="AG171" s="93" cm="1">
        <f t="array" ref="AG171">WORKDAY(AA171,2)</f>
        <v>46279</v>
      </c>
      <c r="AH171" s="90" cm="1">
        <f t="array" ref="AH171">WORKDAY(AG171,1)</f>
        <v>46280</v>
      </c>
      <c r="AI171" s="86" cm="1">
        <f t="array" ref="AI171">WORKDAY(AH171,1)</f>
        <v>46281</v>
      </c>
      <c r="AJ171" s="145"/>
      <c r="AK171" s="56"/>
    </row>
    <row r="172" spans="1:37" ht="25.5" customHeight="1">
      <c r="A172" s="140" cm="1">
        <f t="array" ref="A172">A171+1</f>
        <v>157</v>
      </c>
      <c r="B172" s="79" t="s">
        <v>307</v>
      </c>
      <c r="C172" s="97">
        <v>1</v>
      </c>
      <c r="D172" s="79" t="s">
        <v>308</v>
      </c>
      <c r="E172" s="79" t="s">
        <v>309</v>
      </c>
      <c r="F172" s="79"/>
      <c r="G172" s="80" t="s">
        <v>254</v>
      </c>
      <c r="H172" s="81">
        <v>32373</v>
      </c>
      <c r="I172" s="82">
        <v>71</v>
      </c>
      <c r="J172" s="98"/>
      <c r="K172" s="100">
        <v>0.35</v>
      </c>
      <c r="L172" s="84">
        <v>46099</v>
      </c>
      <c r="M172" s="85">
        <v>46139</v>
      </c>
      <c r="N172" s="86" cm="1">
        <f t="array" ref="N172">WORKDAY(M172,5)</f>
        <v>46146</v>
      </c>
      <c r="O172" s="87">
        <v>0</v>
      </c>
      <c r="P172" s="88">
        <v>0</v>
      </c>
      <c r="Q172" s="89">
        <v>46113</v>
      </c>
      <c r="R172" s="96">
        <v>46136</v>
      </c>
      <c r="S172" s="86" cm="1">
        <f t="array" ref="S172">WORKDAY(R172,10)</f>
        <v>46150</v>
      </c>
      <c r="T172" s="87">
        <v>0</v>
      </c>
      <c r="U172" s="91" t="s">
        <v>105</v>
      </c>
      <c r="V172" s="92">
        <v>0</v>
      </c>
      <c r="W172" s="93" cm="1">
        <f t="array" ref="W172">WORKDAY(X172,-20)</f>
        <v>46197</v>
      </c>
      <c r="X172" s="80" t="s">
        <v>310</v>
      </c>
      <c r="Y172" s="88">
        <v>0</v>
      </c>
      <c r="Z172" s="93">
        <v>46234</v>
      </c>
      <c r="AA172" s="90">
        <v>46276</v>
      </c>
      <c r="AB172" s="88">
        <v>0</v>
      </c>
      <c r="AC172" s="79" t="s">
        <v>49</v>
      </c>
      <c r="AD172" s="79" t="s">
        <v>49</v>
      </c>
      <c r="AE172" s="90"/>
      <c r="AF172" s="88">
        <v>0</v>
      </c>
      <c r="AG172" s="93" cm="1">
        <f t="array" ref="AG172">WORKDAY(AA172,2)</f>
        <v>46280</v>
      </c>
      <c r="AH172" s="90" cm="1">
        <f t="array" ref="AH172">WORKDAY(AG172,1)</f>
        <v>46281</v>
      </c>
      <c r="AI172" s="86" cm="1">
        <f t="array" ref="AI172">WORKDAY(AH172,1)</f>
        <v>46282</v>
      </c>
      <c r="AJ172" s="144"/>
      <c r="AK172" s="56"/>
    </row>
    <row r="173" spans="1:37" ht="25.5" customHeight="1">
      <c r="A173" s="140" cm="1">
        <f t="array" ref="A173">A172+1</f>
        <v>158</v>
      </c>
      <c r="B173" s="79" t="s">
        <v>1290</v>
      </c>
      <c r="C173" s="104">
        <v>2</v>
      </c>
      <c r="D173" s="79" t="s">
        <v>1156</v>
      </c>
      <c r="E173" s="79" t="s">
        <v>1291</v>
      </c>
      <c r="F173" s="79" t="s">
        <v>78</v>
      </c>
      <c r="G173" s="80" t="s">
        <v>1267</v>
      </c>
      <c r="H173" s="81">
        <v>67516</v>
      </c>
      <c r="I173" s="109"/>
      <c r="J173" s="110">
        <v>76</v>
      </c>
      <c r="K173" s="99" t="s">
        <v>126</v>
      </c>
      <c r="L173" s="84">
        <v>46099</v>
      </c>
      <c r="M173" s="85">
        <v>46115</v>
      </c>
      <c r="N173" s="86" cm="1">
        <f t="array" ref="N173">WORKDAY(M173,10)</f>
        <v>46129</v>
      </c>
      <c r="O173" s="87">
        <v>0</v>
      </c>
      <c r="P173" s="88">
        <v>0</v>
      </c>
      <c r="Q173" s="89">
        <v>46136</v>
      </c>
      <c r="R173" s="96">
        <v>46164</v>
      </c>
      <c r="S173" s="86" cm="1">
        <f t="array" ref="S173">WORKDAY(R173,10)</f>
        <v>46178</v>
      </c>
      <c r="T173" s="87">
        <v>0</v>
      </c>
      <c r="U173" s="91" t="s">
        <v>105</v>
      </c>
      <c r="V173" s="92">
        <v>0</v>
      </c>
      <c r="W173" s="93" cm="1">
        <f t="array" ref="W173">WORKDAY(X173,-20)</f>
        <v>46192</v>
      </c>
      <c r="X173" s="80" t="s">
        <v>300</v>
      </c>
      <c r="Y173" s="88">
        <v>0</v>
      </c>
      <c r="Z173" s="93">
        <v>46225</v>
      </c>
      <c r="AA173" s="90">
        <v>46276</v>
      </c>
      <c r="AB173" s="88">
        <v>0</v>
      </c>
      <c r="AC173" s="79" t="s">
        <v>49</v>
      </c>
      <c r="AD173" s="79" t="s">
        <v>49</v>
      </c>
      <c r="AE173" s="90"/>
      <c r="AF173" s="88">
        <v>0</v>
      </c>
      <c r="AG173" s="93" cm="1">
        <f t="array" ref="AG173">WORKDAY(AA173,2)</f>
        <v>46280</v>
      </c>
      <c r="AH173" s="90" cm="1">
        <f t="array" ref="AH173">WORKDAY(AG173,1)</f>
        <v>46281</v>
      </c>
      <c r="AI173" s="86" cm="1">
        <f t="array" ref="AI173">WORKDAY(AH173,1)</f>
        <v>46282</v>
      </c>
      <c r="AJ173" s="145"/>
      <c r="AK173" s="56"/>
    </row>
    <row r="174" spans="1:37" ht="25.5" customHeight="1">
      <c r="A174" s="140" cm="1">
        <f t="array" ref="A174">A173+1</f>
        <v>159</v>
      </c>
      <c r="B174" s="79" t="s">
        <v>332</v>
      </c>
      <c r="C174" s="97">
        <v>1</v>
      </c>
      <c r="D174" s="79" t="s">
        <v>325</v>
      </c>
      <c r="E174" s="79" t="s">
        <v>333</v>
      </c>
      <c r="F174" s="79"/>
      <c r="G174" s="80" t="s">
        <v>327</v>
      </c>
      <c r="H174" s="81">
        <v>56430</v>
      </c>
      <c r="I174" s="82">
        <v>81</v>
      </c>
      <c r="J174" s="98"/>
      <c r="K174" s="100">
        <v>0.25</v>
      </c>
      <c r="L174" s="84">
        <v>46099</v>
      </c>
      <c r="M174" s="85">
        <v>46142</v>
      </c>
      <c r="N174" s="86" cm="1">
        <f t="array" ref="N174">WORKDAY(M174,5)</f>
        <v>46149</v>
      </c>
      <c r="O174" s="87">
        <v>0</v>
      </c>
      <c r="P174" s="88">
        <v>0</v>
      </c>
      <c r="Q174" s="89">
        <v>46113</v>
      </c>
      <c r="R174" s="96">
        <v>46136</v>
      </c>
      <c r="S174" s="86" cm="1">
        <f t="array" ref="S174">WORKDAY(R174,10)</f>
        <v>46150</v>
      </c>
      <c r="T174" s="87">
        <v>0</v>
      </c>
      <c r="U174" s="91" t="s">
        <v>114</v>
      </c>
      <c r="V174" s="92">
        <v>0</v>
      </c>
      <c r="W174" s="93" cm="1">
        <f t="array" ref="W174">WORKDAY(X174,-20)</f>
        <v>46190</v>
      </c>
      <c r="X174" s="90">
        <v>46218</v>
      </c>
      <c r="Y174" s="88">
        <v>0</v>
      </c>
      <c r="Z174" s="93">
        <v>46237</v>
      </c>
      <c r="AA174" s="90">
        <v>46279</v>
      </c>
      <c r="AB174" s="88">
        <v>0</v>
      </c>
      <c r="AC174" s="79" t="s">
        <v>49</v>
      </c>
      <c r="AD174" s="79" t="s">
        <v>49</v>
      </c>
      <c r="AE174" s="90"/>
      <c r="AF174" s="88">
        <v>0</v>
      </c>
      <c r="AG174" s="93" cm="1">
        <f t="array" ref="AG174">WORKDAY(AA174,2)</f>
        <v>46281</v>
      </c>
      <c r="AH174" s="90" cm="1">
        <f t="array" ref="AH174">WORKDAY(AG174,1)</f>
        <v>46282</v>
      </c>
      <c r="AI174" s="86" cm="1">
        <f t="array" ref="AI174">WORKDAY(AH174,1)</f>
        <v>46283</v>
      </c>
      <c r="AJ174" s="144"/>
      <c r="AK174" s="56"/>
    </row>
    <row r="175" spans="1:37" ht="25.5" customHeight="1">
      <c r="A175" s="140" cm="1">
        <f t="array" ref="A175">A174+1</f>
        <v>160</v>
      </c>
      <c r="B175" s="79" t="s">
        <v>1292</v>
      </c>
      <c r="C175" s="104">
        <v>2</v>
      </c>
      <c r="D175" s="79" t="s">
        <v>1156</v>
      </c>
      <c r="E175" s="79" t="s">
        <v>1293</v>
      </c>
      <c r="F175" s="79" t="s">
        <v>78</v>
      </c>
      <c r="G175" s="80" t="s">
        <v>1267</v>
      </c>
      <c r="H175" s="81">
        <v>67516</v>
      </c>
      <c r="I175" s="109"/>
      <c r="J175" s="110">
        <v>77</v>
      </c>
      <c r="K175" s="107" t="s">
        <v>1125</v>
      </c>
      <c r="L175" s="84">
        <v>46099</v>
      </c>
      <c r="M175" s="85">
        <v>46115</v>
      </c>
      <c r="N175" s="86" cm="1">
        <f t="array" ref="N175">WORKDAY(M175,10)</f>
        <v>46129</v>
      </c>
      <c r="O175" s="87">
        <v>0</v>
      </c>
      <c r="P175" s="88">
        <v>0</v>
      </c>
      <c r="Q175" s="89">
        <v>46136</v>
      </c>
      <c r="R175" s="96">
        <v>46164</v>
      </c>
      <c r="S175" s="86" cm="1">
        <f t="array" ref="S175">WORKDAY(R175,10)</f>
        <v>46178</v>
      </c>
      <c r="T175" s="87">
        <v>0</v>
      </c>
      <c r="U175" s="91" t="s">
        <v>105</v>
      </c>
      <c r="V175" s="92">
        <v>0</v>
      </c>
      <c r="W175" s="93" cm="1">
        <f t="array" ref="W175">WORKDAY(X175,-20)</f>
        <v>46195</v>
      </c>
      <c r="X175" s="80" t="s">
        <v>303</v>
      </c>
      <c r="Y175" s="88">
        <v>0</v>
      </c>
      <c r="Z175" s="93">
        <v>46226</v>
      </c>
      <c r="AA175" s="90">
        <v>46279</v>
      </c>
      <c r="AB175" s="88">
        <v>0</v>
      </c>
      <c r="AC175" s="79" t="s">
        <v>49</v>
      </c>
      <c r="AD175" s="79" t="s">
        <v>49</v>
      </c>
      <c r="AE175" s="90"/>
      <c r="AF175" s="88">
        <v>0</v>
      </c>
      <c r="AG175" s="93" cm="1">
        <f t="array" ref="AG175">WORKDAY(AA175,2)</f>
        <v>46281</v>
      </c>
      <c r="AH175" s="90" cm="1">
        <f t="array" ref="AH175">WORKDAY(AG175,1)</f>
        <v>46282</v>
      </c>
      <c r="AI175" s="86" cm="1">
        <f t="array" ref="AI175">WORKDAY(AH175,1)</f>
        <v>46283</v>
      </c>
      <c r="AJ175" s="145"/>
      <c r="AK175" s="56"/>
    </row>
    <row r="176" spans="1:37" ht="25.5" customHeight="1">
      <c r="A176" s="140" cm="1">
        <f t="array" ref="A176">A175+1</f>
        <v>161</v>
      </c>
      <c r="B176" s="79" t="s">
        <v>334</v>
      </c>
      <c r="C176" s="97">
        <v>1</v>
      </c>
      <c r="D176" s="79" t="s">
        <v>325</v>
      </c>
      <c r="E176" s="79" t="s">
        <v>335</v>
      </c>
      <c r="F176" s="79"/>
      <c r="G176" s="80" t="s">
        <v>327</v>
      </c>
      <c r="H176" s="81">
        <v>56430</v>
      </c>
      <c r="I176" s="82">
        <v>82</v>
      </c>
      <c r="J176" s="98"/>
      <c r="K176" s="100">
        <v>0.25</v>
      </c>
      <c r="L176" s="84">
        <v>46099</v>
      </c>
      <c r="M176" s="85">
        <v>46142</v>
      </c>
      <c r="N176" s="86" cm="1">
        <f t="array" ref="N176">WORKDAY(M176,5)</f>
        <v>46149</v>
      </c>
      <c r="O176" s="87">
        <v>0</v>
      </c>
      <c r="P176" s="88">
        <v>0</v>
      </c>
      <c r="Q176" s="89">
        <v>46113</v>
      </c>
      <c r="R176" s="96">
        <v>46136</v>
      </c>
      <c r="S176" s="86" cm="1">
        <f t="array" ref="S176">WORKDAY(R176,10)</f>
        <v>46150</v>
      </c>
      <c r="T176" s="87">
        <v>0</v>
      </c>
      <c r="U176" s="91" t="s">
        <v>114</v>
      </c>
      <c r="V176" s="92">
        <v>0</v>
      </c>
      <c r="W176" s="93" cm="1">
        <f t="array" ref="W176">WORKDAY(X176,-20)</f>
        <v>46191</v>
      </c>
      <c r="X176" s="90">
        <v>46219</v>
      </c>
      <c r="Y176" s="88">
        <v>0</v>
      </c>
      <c r="Z176" s="93">
        <v>46238</v>
      </c>
      <c r="AA176" s="90">
        <v>46280</v>
      </c>
      <c r="AB176" s="88">
        <v>0</v>
      </c>
      <c r="AC176" s="79" t="s">
        <v>49</v>
      </c>
      <c r="AD176" s="79" t="s">
        <v>49</v>
      </c>
      <c r="AE176" s="90"/>
      <c r="AF176" s="88">
        <v>0</v>
      </c>
      <c r="AG176" s="93" cm="1">
        <f t="array" ref="AG176">WORKDAY(AA176,2)</f>
        <v>46282</v>
      </c>
      <c r="AH176" s="90" cm="1">
        <f t="array" ref="AH176">WORKDAY(AG176,1)</f>
        <v>46283</v>
      </c>
      <c r="AI176" s="86" cm="1">
        <f t="array" ref="AI176">WORKDAY(AH176,1)</f>
        <v>46286</v>
      </c>
      <c r="AJ176" s="144"/>
      <c r="AK176" s="56"/>
    </row>
    <row r="177" spans="1:37" ht="25.5" customHeight="1">
      <c r="A177" s="140" cm="1">
        <f t="array" ref="A177">A176+1</f>
        <v>162</v>
      </c>
      <c r="B177" s="79" t="s">
        <v>1294</v>
      </c>
      <c r="C177" s="104">
        <v>2</v>
      </c>
      <c r="D177" s="79" t="s">
        <v>1204</v>
      </c>
      <c r="E177" s="79" t="s">
        <v>1295</v>
      </c>
      <c r="F177" s="79" t="s">
        <v>78</v>
      </c>
      <c r="G177" s="80" t="s">
        <v>1267</v>
      </c>
      <c r="H177" s="81">
        <v>67516</v>
      </c>
      <c r="I177" s="109"/>
      <c r="J177" s="110">
        <v>78</v>
      </c>
      <c r="K177" s="107" t="s">
        <v>1125</v>
      </c>
      <c r="L177" s="84">
        <v>46099</v>
      </c>
      <c r="M177" s="85">
        <v>46115</v>
      </c>
      <c r="N177" s="86" cm="1">
        <f t="array" ref="N177">WORKDAY(M177,10)</f>
        <v>46129</v>
      </c>
      <c r="O177" s="87">
        <v>0</v>
      </c>
      <c r="P177" s="88">
        <v>0</v>
      </c>
      <c r="Q177" s="89">
        <v>46136</v>
      </c>
      <c r="R177" s="96">
        <v>46164</v>
      </c>
      <c r="S177" s="86" cm="1">
        <f t="array" ref="S177">WORKDAY(R177,10)</f>
        <v>46178</v>
      </c>
      <c r="T177" s="87">
        <v>0</v>
      </c>
      <c r="U177" s="91" t="s">
        <v>105</v>
      </c>
      <c r="V177" s="92">
        <v>0</v>
      </c>
      <c r="W177" s="93" cm="1">
        <f t="array" ref="W177">WORKDAY(X177,-20)</f>
        <v>46196</v>
      </c>
      <c r="X177" s="80" t="s">
        <v>306</v>
      </c>
      <c r="Y177" s="88">
        <v>0</v>
      </c>
      <c r="Z177" s="93">
        <v>46227</v>
      </c>
      <c r="AA177" s="90">
        <v>46280</v>
      </c>
      <c r="AB177" s="88">
        <v>0</v>
      </c>
      <c r="AC177" s="79" t="s">
        <v>49</v>
      </c>
      <c r="AD177" s="79" t="s">
        <v>49</v>
      </c>
      <c r="AE177" s="90"/>
      <c r="AF177" s="88">
        <v>0</v>
      </c>
      <c r="AG177" s="93" cm="1">
        <f t="array" ref="AG177">WORKDAY(AA177,2)</f>
        <v>46282</v>
      </c>
      <c r="AH177" s="90" cm="1">
        <f t="array" ref="AH177">WORKDAY(AG177,1)</f>
        <v>46283</v>
      </c>
      <c r="AI177" s="86" cm="1">
        <f t="array" ref="AI177">WORKDAY(AH177,1)</f>
        <v>46286</v>
      </c>
      <c r="AJ177" s="145"/>
      <c r="AK177" s="56"/>
    </row>
    <row r="178" spans="1:37" ht="25.5" customHeight="1">
      <c r="A178" s="140" cm="1">
        <f t="array" ref="A178">A177+1</f>
        <v>163</v>
      </c>
      <c r="B178" s="79" t="s">
        <v>336</v>
      </c>
      <c r="C178" s="97">
        <v>1</v>
      </c>
      <c r="D178" s="79" t="s">
        <v>325</v>
      </c>
      <c r="E178" s="79" t="s">
        <v>337</v>
      </c>
      <c r="F178" s="79"/>
      <c r="G178" s="80" t="s">
        <v>327</v>
      </c>
      <c r="H178" s="81">
        <v>56430</v>
      </c>
      <c r="I178" s="82">
        <v>83</v>
      </c>
      <c r="J178" s="98"/>
      <c r="K178" s="100">
        <v>0.25</v>
      </c>
      <c r="L178" s="84">
        <v>46099</v>
      </c>
      <c r="M178" s="85">
        <v>46142</v>
      </c>
      <c r="N178" s="86" cm="1">
        <f t="array" ref="N178">WORKDAY(M178,5)</f>
        <v>46149</v>
      </c>
      <c r="O178" s="87">
        <v>0</v>
      </c>
      <c r="P178" s="88">
        <v>0</v>
      </c>
      <c r="Q178" s="89">
        <v>46113</v>
      </c>
      <c r="R178" s="96">
        <v>46136</v>
      </c>
      <c r="S178" s="86" cm="1">
        <f t="array" ref="S178">WORKDAY(R178,10)</f>
        <v>46150</v>
      </c>
      <c r="T178" s="87">
        <v>0</v>
      </c>
      <c r="U178" s="91" t="s">
        <v>114</v>
      </c>
      <c r="V178" s="92">
        <v>0</v>
      </c>
      <c r="W178" s="93" cm="1">
        <f t="array" ref="W178">WORKDAY(X178,-20)</f>
        <v>46192</v>
      </c>
      <c r="X178" s="90">
        <v>46220</v>
      </c>
      <c r="Y178" s="88">
        <v>0</v>
      </c>
      <c r="Z178" s="93">
        <v>46239</v>
      </c>
      <c r="AA178" s="90">
        <v>46281</v>
      </c>
      <c r="AB178" s="88">
        <v>0</v>
      </c>
      <c r="AC178" s="79" t="s">
        <v>49</v>
      </c>
      <c r="AD178" s="79" t="s">
        <v>49</v>
      </c>
      <c r="AE178" s="90"/>
      <c r="AF178" s="88">
        <v>0</v>
      </c>
      <c r="AG178" s="93" cm="1">
        <f t="array" ref="AG178">WORKDAY(AA178,2)</f>
        <v>46283</v>
      </c>
      <c r="AH178" s="90" cm="1">
        <f t="array" ref="AH178">WORKDAY(AG178,1)</f>
        <v>46286</v>
      </c>
      <c r="AI178" s="86" cm="1">
        <f t="array" ref="AI178">WORKDAY(AH178,1)</f>
        <v>46287</v>
      </c>
      <c r="AJ178" s="144"/>
      <c r="AK178" s="56"/>
    </row>
    <row r="179" spans="1:37" ht="25.5" customHeight="1">
      <c r="A179" s="140" cm="1">
        <f t="array" ref="A179">A178+1</f>
        <v>164</v>
      </c>
      <c r="B179" s="79" t="s">
        <v>1296</v>
      </c>
      <c r="C179" s="104">
        <v>2</v>
      </c>
      <c r="D179" s="79" t="s">
        <v>1208</v>
      </c>
      <c r="E179" s="79" t="s">
        <v>1297</v>
      </c>
      <c r="F179" s="79" t="s">
        <v>78</v>
      </c>
      <c r="G179" s="80" t="s">
        <v>1267</v>
      </c>
      <c r="H179" s="81">
        <v>67516</v>
      </c>
      <c r="I179" s="109"/>
      <c r="J179" s="110">
        <v>79</v>
      </c>
      <c r="K179" s="99" t="s">
        <v>126</v>
      </c>
      <c r="L179" s="84">
        <v>46099</v>
      </c>
      <c r="M179" s="85">
        <v>46111</v>
      </c>
      <c r="N179" s="86">
        <v>46114</v>
      </c>
      <c r="O179" s="87">
        <v>0</v>
      </c>
      <c r="P179" s="88">
        <v>0</v>
      </c>
      <c r="Q179" s="89">
        <v>46136</v>
      </c>
      <c r="R179" s="96">
        <v>46164</v>
      </c>
      <c r="S179" s="86" cm="1">
        <f t="array" ref="S179">WORKDAY(R179,10)</f>
        <v>46178</v>
      </c>
      <c r="T179" s="87">
        <v>0</v>
      </c>
      <c r="U179" s="91" t="s">
        <v>105</v>
      </c>
      <c r="V179" s="92">
        <v>0</v>
      </c>
      <c r="W179" s="93" cm="1">
        <f t="array" ref="W179">WORKDAY(X179,-20)</f>
        <v>46197</v>
      </c>
      <c r="X179" s="80" t="s">
        <v>310</v>
      </c>
      <c r="Y179" s="88">
        <v>0</v>
      </c>
      <c r="Z179" s="93">
        <v>46230</v>
      </c>
      <c r="AA179" s="90">
        <v>46281</v>
      </c>
      <c r="AB179" s="88">
        <v>0</v>
      </c>
      <c r="AC179" s="79" t="s">
        <v>49</v>
      </c>
      <c r="AD179" s="79" t="s">
        <v>49</v>
      </c>
      <c r="AE179" s="90"/>
      <c r="AF179" s="88">
        <v>0</v>
      </c>
      <c r="AG179" s="93" cm="1">
        <f t="array" ref="AG179">WORKDAY(AA179,2)</f>
        <v>46283</v>
      </c>
      <c r="AH179" s="90" cm="1">
        <f t="array" ref="AH179">WORKDAY(AG179,1)</f>
        <v>46286</v>
      </c>
      <c r="AI179" s="86" cm="1">
        <f t="array" ref="AI179">WORKDAY(AH179,1)</f>
        <v>46287</v>
      </c>
      <c r="AJ179" s="145"/>
      <c r="AK179" s="56"/>
    </row>
    <row r="180" spans="1:37" ht="25.5" customHeight="1">
      <c r="A180" s="140" cm="1">
        <f t="array" ref="A180">A179+1</f>
        <v>165</v>
      </c>
      <c r="B180" s="79" t="s">
        <v>338</v>
      </c>
      <c r="C180" s="97">
        <v>1</v>
      </c>
      <c r="D180" s="79" t="s">
        <v>325</v>
      </c>
      <c r="E180" s="79" t="s">
        <v>339</v>
      </c>
      <c r="F180" s="79"/>
      <c r="G180" s="80" t="s">
        <v>327</v>
      </c>
      <c r="H180" s="81">
        <v>56430</v>
      </c>
      <c r="I180" s="82">
        <v>84</v>
      </c>
      <c r="J180" s="98"/>
      <c r="K180" s="100">
        <v>0.25</v>
      </c>
      <c r="L180" s="84">
        <v>46099</v>
      </c>
      <c r="M180" s="85">
        <v>46142</v>
      </c>
      <c r="N180" s="86" cm="1">
        <f t="array" ref="N180">WORKDAY(M180,5)</f>
        <v>46149</v>
      </c>
      <c r="O180" s="87">
        <v>0</v>
      </c>
      <c r="P180" s="88">
        <v>0</v>
      </c>
      <c r="Q180" s="89">
        <v>46113</v>
      </c>
      <c r="R180" s="96">
        <v>46136</v>
      </c>
      <c r="S180" s="86" cm="1">
        <f t="array" ref="S180">WORKDAY(R180,10)</f>
        <v>46150</v>
      </c>
      <c r="T180" s="87">
        <v>0</v>
      </c>
      <c r="U180" s="91" t="s">
        <v>114</v>
      </c>
      <c r="V180" s="92">
        <v>0</v>
      </c>
      <c r="W180" s="93" cm="1">
        <f t="array" ref="W180">WORKDAY(X180,-20)</f>
        <v>46195</v>
      </c>
      <c r="X180" s="90">
        <v>46223</v>
      </c>
      <c r="Y180" s="88">
        <v>0</v>
      </c>
      <c r="Z180" s="93">
        <v>46240</v>
      </c>
      <c r="AA180" s="90">
        <v>46282</v>
      </c>
      <c r="AB180" s="88">
        <v>0</v>
      </c>
      <c r="AC180" s="79" t="s">
        <v>49</v>
      </c>
      <c r="AD180" s="79" t="s">
        <v>49</v>
      </c>
      <c r="AE180" s="90"/>
      <c r="AF180" s="88">
        <v>0</v>
      </c>
      <c r="AG180" s="93" cm="1">
        <f t="array" ref="AG180">WORKDAY(AA180,2)</f>
        <v>46286</v>
      </c>
      <c r="AH180" s="90" cm="1">
        <f t="array" ref="AH180">WORKDAY(AG180,1)</f>
        <v>46287</v>
      </c>
      <c r="AI180" s="86" cm="1">
        <f t="array" ref="AI180">WORKDAY(AH180,1)</f>
        <v>46288</v>
      </c>
      <c r="AJ180" s="144"/>
      <c r="AK180" s="56"/>
    </row>
    <row r="181" spans="1:37" ht="25.5" customHeight="1">
      <c r="A181" s="140" cm="1">
        <f t="array" ref="A181">A180+1</f>
        <v>166</v>
      </c>
      <c r="B181" s="79" t="s">
        <v>1298</v>
      </c>
      <c r="C181" s="104">
        <v>2</v>
      </c>
      <c r="D181" s="79" t="s">
        <v>1208</v>
      </c>
      <c r="E181" s="79" t="s">
        <v>1299</v>
      </c>
      <c r="F181" s="79" t="s">
        <v>78</v>
      </c>
      <c r="G181" s="80" t="s">
        <v>1267</v>
      </c>
      <c r="H181" s="81">
        <v>67516</v>
      </c>
      <c r="I181" s="109"/>
      <c r="J181" s="110">
        <v>80</v>
      </c>
      <c r="K181" s="99" t="s">
        <v>126</v>
      </c>
      <c r="L181" s="84">
        <v>46099</v>
      </c>
      <c r="M181" s="85">
        <v>46111</v>
      </c>
      <c r="N181" s="86">
        <v>46114</v>
      </c>
      <c r="O181" s="87">
        <v>0</v>
      </c>
      <c r="P181" s="88">
        <v>0</v>
      </c>
      <c r="Q181" s="89">
        <v>46136</v>
      </c>
      <c r="R181" s="96">
        <v>46164</v>
      </c>
      <c r="S181" s="86" cm="1">
        <f t="array" ref="S181">WORKDAY(R181,10)</f>
        <v>46178</v>
      </c>
      <c r="T181" s="87">
        <v>0</v>
      </c>
      <c r="U181" s="91" t="s">
        <v>105</v>
      </c>
      <c r="V181" s="92">
        <v>0</v>
      </c>
      <c r="W181" s="93" cm="1">
        <f t="array" ref="W181">WORKDAY(X181,-20)</f>
        <v>46198</v>
      </c>
      <c r="X181" s="80" t="s">
        <v>313</v>
      </c>
      <c r="Y181" s="88">
        <v>0</v>
      </c>
      <c r="Z181" s="93">
        <v>46231</v>
      </c>
      <c r="AA181" s="90">
        <v>46282</v>
      </c>
      <c r="AB181" s="88">
        <v>0</v>
      </c>
      <c r="AC181" s="79" t="s">
        <v>49</v>
      </c>
      <c r="AD181" s="79" t="s">
        <v>49</v>
      </c>
      <c r="AE181" s="90"/>
      <c r="AF181" s="88">
        <v>0</v>
      </c>
      <c r="AG181" s="93" cm="1">
        <f t="array" ref="AG181">WORKDAY(AA181,2)</f>
        <v>46286</v>
      </c>
      <c r="AH181" s="90" cm="1">
        <f t="array" ref="AH181">WORKDAY(AG181,1)</f>
        <v>46287</v>
      </c>
      <c r="AI181" s="86" cm="1">
        <f t="array" ref="AI181">WORKDAY(AH181,1)</f>
        <v>46288</v>
      </c>
      <c r="AJ181" s="145"/>
      <c r="AK181" s="56"/>
    </row>
    <row r="182" spans="1:37" ht="25.5" customHeight="1">
      <c r="A182" s="140" cm="1">
        <f t="array" ref="A182">A181+1</f>
        <v>167</v>
      </c>
      <c r="B182" s="79" t="s">
        <v>340</v>
      </c>
      <c r="C182" s="97">
        <v>1</v>
      </c>
      <c r="D182" s="79" t="s">
        <v>341</v>
      </c>
      <c r="E182" s="79" t="s">
        <v>342</v>
      </c>
      <c r="F182" s="79"/>
      <c r="G182" s="80" t="s">
        <v>327</v>
      </c>
      <c r="H182" s="81">
        <v>54914</v>
      </c>
      <c r="I182" s="82">
        <v>85</v>
      </c>
      <c r="J182" s="98"/>
      <c r="K182" s="100">
        <v>0.25</v>
      </c>
      <c r="L182" s="84">
        <v>46099</v>
      </c>
      <c r="M182" s="85">
        <v>46142</v>
      </c>
      <c r="N182" s="86" cm="1">
        <f t="array" ref="N182">WORKDAY(M182,5)</f>
        <v>46149</v>
      </c>
      <c r="O182" s="87">
        <v>0</v>
      </c>
      <c r="P182" s="88">
        <v>0</v>
      </c>
      <c r="Q182" s="89">
        <v>46113</v>
      </c>
      <c r="R182" s="96">
        <v>46136</v>
      </c>
      <c r="S182" s="86" cm="1">
        <f t="array" ref="S182">WORKDAY(R182,10)</f>
        <v>46150</v>
      </c>
      <c r="T182" s="87">
        <v>0</v>
      </c>
      <c r="U182" s="91" t="s">
        <v>114</v>
      </c>
      <c r="V182" s="92">
        <v>0</v>
      </c>
      <c r="W182" s="93" cm="1">
        <f t="array" ref="W182">WORKDAY(X182,-20)</f>
        <v>46196</v>
      </c>
      <c r="X182" s="90">
        <v>46224</v>
      </c>
      <c r="Y182" s="88">
        <v>0</v>
      </c>
      <c r="Z182" s="93">
        <v>46241</v>
      </c>
      <c r="AA182" s="90">
        <v>46283</v>
      </c>
      <c r="AB182" s="88">
        <v>0</v>
      </c>
      <c r="AC182" s="79" t="s">
        <v>49</v>
      </c>
      <c r="AD182" s="79" t="s">
        <v>49</v>
      </c>
      <c r="AE182" s="90"/>
      <c r="AF182" s="88">
        <v>0</v>
      </c>
      <c r="AG182" s="93" cm="1">
        <f t="array" ref="AG182">WORKDAY(AA182,2)</f>
        <v>46287</v>
      </c>
      <c r="AH182" s="90" cm="1">
        <f t="array" ref="AH182">WORKDAY(AG182,1)</f>
        <v>46288</v>
      </c>
      <c r="AI182" s="86" cm="1">
        <f t="array" ref="AI182">WORKDAY(AH182,1)</f>
        <v>46289</v>
      </c>
      <c r="AJ182" s="144"/>
      <c r="AK182" s="56"/>
    </row>
    <row r="183" spans="1:37" ht="25.5" customHeight="1">
      <c r="A183" s="140" cm="1">
        <f t="array" ref="A183">A182+1</f>
        <v>168</v>
      </c>
      <c r="B183" s="79" t="s">
        <v>1300</v>
      </c>
      <c r="C183" s="104">
        <v>2</v>
      </c>
      <c r="D183" s="79" t="s">
        <v>1208</v>
      </c>
      <c r="E183" s="79" t="s">
        <v>1301</v>
      </c>
      <c r="F183" s="79" t="s">
        <v>78</v>
      </c>
      <c r="G183" s="80" t="s">
        <v>1267</v>
      </c>
      <c r="H183" s="81">
        <v>67516</v>
      </c>
      <c r="I183" s="109"/>
      <c r="J183" s="110">
        <v>81</v>
      </c>
      <c r="K183" s="99" t="s">
        <v>126</v>
      </c>
      <c r="L183" s="84">
        <v>46099</v>
      </c>
      <c r="M183" s="85">
        <v>46111</v>
      </c>
      <c r="N183" s="86">
        <v>46114</v>
      </c>
      <c r="O183" s="87">
        <v>0</v>
      </c>
      <c r="P183" s="88">
        <v>0</v>
      </c>
      <c r="Q183" s="89">
        <v>46136</v>
      </c>
      <c r="R183" s="96">
        <v>46164</v>
      </c>
      <c r="S183" s="86" cm="1">
        <f t="array" ref="S183">WORKDAY(R183,10)</f>
        <v>46178</v>
      </c>
      <c r="T183" s="87">
        <v>0</v>
      </c>
      <c r="U183" s="91" t="s">
        <v>105</v>
      </c>
      <c r="V183" s="92">
        <v>0</v>
      </c>
      <c r="W183" s="93" cm="1">
        <f t="array" ref="W183">WORKDAY(X183,-20)</f>
        <v>46199</v>
      </c>
      <c r="X183" s="80" t="s">
        <v>1302</v>
      </c>
      <c r="Y183" s="88">
        <v>0</v>
      </c>
      <c r="Z183" s="93">
        <v>46232</v>
      </c>
      <c r="AA183" s="90">
        <v>46283</v>
      </c>
      <c r="AB183" s="88">
        <v>0</v>
      </c>
      <c r="AC183" s="79" t="s">
        <v>49</v>
      </c>
      <c r="AD183" s="79" t="s">
        <v>49</v>
      </c>
      <c r="AE183" s="90"/>
      <c r="AF183" s="88">
        <v>0</v>
      </c>
      <c r="AG183" s="93" cm="1">
        <f t="array" ref="AG183">WORKDAY(AA183,2)</f>
        <v>46287</v>
      </c>
      <c r="AH183" s="90" cm="1">
        <f t="array" ref="AH183">WORKDAY(AG183,1)</f>
        <v>46288</v>
      </c>
      <c r="AI183" s="86" cm="1">
        <f t="array" ref="AI183">WORKDAY(AH183,1)</f>
        <v>46289</v>
      </c>
      <c r="AJ183" s="145"/>
      <c r="AK183" s="56"/>
    </row>
    <row r="184" spans="1:37" ht="25.5" customHeight="1">
      <c r="A184" s="140" cm="1">
        <f t="array" ref="A184">A183+1</f>
        <v>169</v>
      </c>
      <c r="B184" s="79" t="s">
        <v>343</v>
      </c>
      <c r="C184" s="97">
        <v>1</v>
      </c>
      <c r="D184" s="79" t="s">
        <v>341</v>
      </c>
      <c r="E184" s="79" t="s">
        <v>344</v>
      </c>
      <c r="F184" s="79"/>
      <c r="G184" s="80" t="s">
        <v>327</v>
      </c>
      <c r="H184" s="81">
        <v>54914</v>
      </c>
      <c r="I184" s="82">
        <v>86</v>
      </c>
      <c r="J184" s="98"/>
      <c r="K184" s="100">
        <v>0.25</v>
      </c>
      <c r="L184" s="84">
        <v>46099</v>
      </c>
      <c r="M184" s="85">
        <v>46142</v>
      </c>
      <c r="N184" s="86" cm="1">
        <f t="array" ref="N184">WORKDAY(M184,5)</f>
        <v>46149</v>
      </c>
      <c r="O184" s="87">
        <v>0</v>
      </c>
      <c r="P184" s="88">
        <v>0</v>
      </c>
      <c r="Q184" s="89">
        <v>46113</v>
      </c>
      <c r="R184" s="96">
        <v>46136</v>
      </c>
      <c r="S184" s="86" cm="1">
        <f t="array" ref="S184">WORKDAY(R184,10)</f>
        <v>46150</v>
      </c>
      <c r="T184" s="87">
        <v>0</v>
      </c>
      <c r="U184" s="91" t="s">
        <v>114</v>
      </c>
      <c r="V184" s="92">
        <v>0</v>
      </c>
      <c r="W184" s="93" cm="1">
        <f t="array" ref="W184">WORKDAY(X184,-20)</f>
        <v>46197</v>
      </c>
      <c r="X184" s="90">
        <v>46225</v>
      </c>
      <c r="Y184" s="88">
        <v>0</v>
      </c>
      <c r="Z184" s="93">
        <v>46244</v>
      </c>
      <c r="AA184" s="90">
        <v>46286</v>
      </c>
      <c r="AB184" s="88">
        <v>0</v>
      </c>
      <c r="AC184" s="79" t="s">
        <v>49</v>
      </c>
      <c r="AD184" s="79" t="s">
        <v>49</v>
      </c>
      <c r="AE184" s="90"/>
      <c r="AF184" s="88">
        <v>0</v>
      </c>
      <c r="AG184" s="93" cm="1">
        <f t="array" ref="AG184">WORKDAY(AA184,2)</f>
        <v>46288</v>
      </c>
      <c r="AH184" s="90" cm="1">
        <f t="array" ref="AH184">WORKDAY(AG184,1)</f>
        <v>46289</v>
      </c>
      <c r="AI184" s="86" cm="1">
        <f t="array" ref="AI184">WORKDAY(AH184,1)</f>
        <v>46290</v>
      </c>
      <c r="AJ184" s="144"/>
      <c r="AK184" s="56"/>
    </row>
    <row r="185" spans="1:37" ht="25.5" customHeight="1">
      <c r="A185" s="140" cm="1">
        <f t="array" ref="A185">A184+1</f>
        <v>170</v>
      </c>
      <c r="B185" s="79" t="s">
        <v>345</v>
      </c>
      <c r="C185" s="97">
        <v>1</v>
      </c>
      <c r="D185" s="79" t="s">
        <v>341</v>
      </c>
      <c r="E185" s="79" t="s">
        <v>346</v>
      </c>
      <c r="F185" s="79"/>
      <c r="G185" s="80" t="s">
        <v>327</v>
      </c>
      <c r="H185" s="81">
        <v>54914</v>
      </c>
      <c r="I185" s="82">
        <v>87</v>
      </c>
      <c r="J185" s="98"/>
      <c r="K185" s="100">
        <v>0.25</v>
      </c>
      <c r="L185" s="84">
        <v>46099</v>
      </c>
      <c r="M185" s="85">
        <v>46142</v>
      </c>
      <c r="N185" s="86" cm="1">
        <f t="array" ref="N185">WORKDAY(M185,5)</f>
        <v>46149</v>
      </c>
      <c r="O185" s="87">
        <v>0</v>
      </c>
      <c r="P185" s="88">
        <v>0</v>
      </c>
      <c r="Q185" s="89">
        <v>46113</v>
      </c>
      <c r="R185" s="96">
        <v>46136</v>
      </c>
      <c r="S185" s="86" cm="1">
        <f t="array" ref="S185">WORKDAY(R185,10)</f>
        <v>46150</v>
      </c>
      <c r="T185" s="87">
        <v>0</v>
      </c>
      <c r="U185" s="91" t="s">
        <v>114</v>
      </c>
      <c r="V185" s="92">
        <v>0</v>
      </c>
      <c r="W185" s="93" cm="1">
        <f t="array" ref="W185">WORKDAY(X185,-20)</f>
        <v>46198</v>
      </c>
      <c r="X185" s="90">
        <v>46226</v>
      </c>
      <c r="Y185" s="88">
        <v>0</v>
      </c>
      <c r="Z185" s="93">
        <v>46244</v>
      </c>
      <c r="AA185" s="90">
        <v>46286</v>
      </c>
      <c r="AB185" s="88">
        <v>0</v>
      </c>
      <c r="AC185" s="79" t="s">
        <v>49</v>
      </c>
      <c r="AD185" s="79" t="s">
        <v>49</v>
      </c>
      <c r="AE185" s="90"/>
      <c r="AF185" s="88">
        <v>0</v>
      </c>
      <c r="AG185" s="93" cm="1">
        <f t="array" ref="AG185">WORKDAY(AA185,2)</f>
        <v>46288</v>
      </c>
      <c r="AH185" s="90" cm="1">
        <f t="array" ref="AH185">WORKDAY(AG185,1)</f>
        <v>46289</v>
      </c>
      <c r="AI185" s="86" cm="1">
        <f t="array" ref="AI185">WORKDAY(AH185,1)</f>
        <v>46290</v>
      </c>
      <c r="AJ185" s="144"/>
      <c r="AK185" s="56"/>
    </row>
    <row r="186" spans="1:37" ht="25.5" customHeight="1">
      <c r="A186" s="140" cm="1">
        <f t="array" ref="A186">A185+1</f>
        <v>171</v>
      </c>
      <c r="B186" s="79" t="s">
        <v>1303</v>
      </c>
      <c r="C186" s="104">
        <v>2</v>
      </c>
      <c r="D186" s="79" t="s">
        <v>1208</v>
      </c>
      <c r="E186" s="79" t="s">
        <v>1304</v>
      </c>
      <c r="F186" s="79" t="s">
        <v>78</v>
      </c>
      <c r="G186" s="80" t="s">
        <v>1267</v>
      </c>
      <c r="H186" s="81">
        <v>67516</v>
      </c>
      <c r="I186" s="109"/>
      <c r="J186" s="110">
        <v>82</v>
      </c>
      <c r="K186" s="99" t="s">
        <v>126</v>
      </c>
      <c r="L186" s="84">
        <v>46099</v>
      </c>
      <c r="M186" s="85">
        <v>46111</v>
      </c>
      <c r="N186" s="86">
        <v>46114</v>
      </c>
      <c r="O186" s="87">
        <v>0</v>
      </c>
      <c r="P186" s="88">
        <v>0</v>
      </c>
      <c r="Q186" s="89">
        <v>46136</v>
      </c>
      <c r="R186" s="96">
        <v>46164</v>
      </c>
      <c r="S186" s="86" cm="1">
        <f t="array" ref="S186">WORKDAY(R186,10)</f>
        <v>46178</v>
      </c>
      <c r="T186" s="87">
        <v>0</v>
      </c>
      <c r="U186" s="91" t="s">
        <v>105</v>
      </c>
      <c r="V186" s="92">
        <v>0</v>
      </c>
      <c r="W186" s="93" cm="1">
        <f t="array" ref="W186">WORKDAY(X186,-20)</f>
        <v>46202</v>
      </c>
      <c r="X186" s="80" t="s">
        <v>1305</v>
      </c>
      <c r="Y186" s="88">
        <v>0</v>
      </c>
      <c r="Z186" s="93">
        <v>46233</v>
      </c>
      <c r="AA186" s="90">
        <v>46286</v>
      </c>
      <c r="AB186" s="88">
        <v>0</v>
      </c>
      <c r="AC186" s="79" t="s">
        <v>49</v>
      </c>
      <c r="AD186" s="79" t="s">
        <v>49</v>
      </c>
      <c r="AE186" s="90"/>
      <c r="AF186" s="88">
        <v>0</v>
      </c>
      <c r="AG186" s="93" cm="1">
        <f t="array" ref="AG186">WORKDAY(AA186,2)</f>
        <v>46288</v>
      </c>
      <c r="AH186" s="90" cm="1">
        <f t="array" ref="AH186">WORKDAY(AG186,1)</f>
        <v>46289</v>
      </c>
      <c r="AI186" s="86" cm="1">
        <f t="array" ref="AI186">WORKDAY(AH186,1)</f>
        <v>46290</v>
      </c>
      <c r="AJ186" s="145"/>
      <c r="AK186" s="56"/>
    </row>
    <row r="187" spans="1:37" ht="25.5" customHeight="1">
      <c r="A187" s="140" cm="1">
        <f t="array" ref="A187">A186+1</f>
        <v>172</v>
      </c>
      <c r="B187" s="79" t="s">
        <v>347</v>
      </c>
      <c r="C187" s="97">
        <v>1</v>
      </c>
      <c r="D187" s="79" t="s">
        <v>341</v>
      </c>
      <c r="E187" s="79" t="s">
        <v>348</v>
      </c>
      <c r="F187" s="79"/>
      <c r="G187" s="80" t="s">
        <v>327</v>
      </c>
      <c r="H187" s="81">
        <v>54914</v>
      </c>
      <c r="I187" s="82">
        <v>88</v>
      </c>
      <c r="J187" s="98"/>
      <c r="K187" s="100">
        <v>0.25</v>
      </c>
      <c r="L187" s="84">
        <v>46099</v>
      </c>
      <c r="M187" s="85">
        <v>46142</v>
      </c>
      <c r="N187" s="86" cm="1">
        <f t="array" ref="N187">WORKDAY(M187,5)</f>
        <v>46149</v>
      </c>
      <c r="O187" s="87">
        <v>0</v>
      </c>
      <c r="P187" s="88">
        <v>0</v>
      </c>
      <c r="Q187" s="89">
        <v>46113</v>
      </c>
      <c r="R187" s="96">
        <v>46136</v>
      </c>
      <c r="S187" s="86" cm="1">
        <f t="array" ref="S187">WORKDAY(R187,10)</f>
        <v>46150</v>
      </c>
      <c r="T187" s="87">
        <v>0</v>
      </c>
      <c r="U187" s="91" t="s">
        <v>114</v>
      </c>
      <c r="V187" s="92">
        <v>0</v>
      </c>
      <c r="W187" s="93" cm="1">
        <f t="array" ref="W187">WORKDAY(X187,-20)</f>
        <v>46199</v>
      </c>
      <c r="X187" s="90">
        <v>46227</v>
      </c>
      <c r="Y187" s="88">
        <v>0</v>
      </c>
      <c r="Z187" s="93">
        <v>46245</v>
      </c>
      <c r="AA187" s="90">
        <v>46287</v>
      </c>
      <c r="AB187" s="88">
        <v>0</v>
      </c>
      <c r="AC187" s="79" t="s">
        <v>49</v>
      </c>
      <c r="AD187" s="79" t="s">
        <v>49</v>
      </c>
      <c r="AE187" s="90"/>
      <c r="AF187" s="88">
        <v>0</v>
      </c>
      <c r="AG187" s="93" cm="1">
        <f t="array" ref="AG187">WORKDAY(AA187,2)</f>
        <v>46289</v>
      </c>
      <c r="AH187" s="90" cm="1">
        <f t="array" ref="AH187">WORKDAY(AG187,1)</f>
        <v>46290</v>
      </c>
      <c r="AI187" s="86" cm="1">
        <f t="array" ref="AI187">WORKDAY(AH187,1)</f>
        <v>46293</v>
      </c>
      <c r="AJ187" s="144"/>
      <c r="AK187" s="56"/>
    </row>
    <row r="188" spans="1:37" ht="25.5" customHeight="1">
      <c r="A188" s="140" cm="1">
        <f t="array" ref="A188">A187+1</f>
        <v>173</v>
      </c>
      <c r="B188" s="79" t="s">
        <v>349</v>
      </c>
      <c r="C188" s="97">
        <v>1</v>
      </c>
      <c r="D188" s="79" t="s">
        <v>341</v>
      </c>
      <c r="E188" s="79" t="s">
        <v>350</v>
      </c>
      <c r="F188" s="79"/>
      <c r="G188" s="80" t="s">
        <v>327</v>
      </c>
      <c r="H188" s="81">
        <v>54914</v>
      </c>
      <c r="I188" s="82">
        <v>89</v>
      </c>
      <c r="J188" s="98"/>
      <c r="K188" s="100">
        <v>0.25</v>
      </c>
      <c r="L188" s="84">
        <v>46099</v>
      </c>
      <c r="M188" s="85">
        <v>46142</v>
      </c>
      <c r="N188" s="86" cm="1">
        <f t="array" ref="N188">WORKDAY(M188,5)</f>
        <v>46149</v>
      </c>
      <c r="O188" s="87">
        <v>0</v>
      </c>
      <c r="P188" s="88">
        <v>0</v>
      </c>
      <c r="Q188" s="89">
        <v>46113</v>
      </c>
      <c r="R188" s="96">
        <v>46136</v>
      </c>
      <c r="S188" s="86" cm="1">
        <f t="array" ref="S188">WORKDAY(R188,10)</f>
        <v>46150</v>
      </c>
      <c r="T188" s="87">
        <v>0</v>
      </c>
      <c r="U188" s="91" t="s">
        <v>114</v>
      </c>
      <c r="V188" s="92">
        <v>0</v>
      </c>
      <c r="W188" s="93" cm="1">
        <f t="array" ref="W188">WORKDAY(X188,-20)</f>
        <v>46202</v>
      </c>
      <c r="X188" s="90">
        <v>46230</v>
      </c>
      <c r="Y188" s="88">
        <v>0</v>
      </c>
      <c r="Z188" s="93">
        <v>46245</v>
      </c>
      <c r="AA188" s="90">
        <v>46287</v>
      </c>
      <c r="AB188" s="88">
        <v>0</v>
      </c>
      <c r="AC188" s="79" t="s">
        <v>49</v>
      </c>
      <c r="AD188" s="79" t="s">
        <v>49</v>
      </c>
      <c r="AE188" s="90"/>
      <c r="AF188" s="88">
        <v>0</v>
      </c>
      <c r="AG188" s="93" cm="1">
        <f t="array" ref="AG188">WORKDAY(AA188,2)</f>
        <v>46289</v>
      </c>
      <c r="AH188" s="90" cm="1">
        <f t="array" ref="AH188">WORKDAY(AG188,1)</f>
        <v>46290</v>
      </c>
      <c r="AI188" s="86" cm="1">
        <f t="array" ref="AI188">WORKDAY(AH188,1)</f>
        <v>46293</v>
      </c>
      <c r="AJ188" s="144"/>
      <c r="AK188" s="56"/>
    </row>
    <row r="189" spans="1:37" ht="25.5" customHeight="1">
      <c r="A189" s="140" cm="1">
        <f t="array" ref="A189">A188+1</f>
        <v>174</v>
      </c>
      <c r="B189" s="79" t="s">
        <v>1306</v>
      </c>
      <c r="C189" s="104">
        <v>2</v>
      </c>
      <c r="D189" s="79" t="s">
        <v>1208</v>
      </c>
      <c r="E189" s="79" t="s">
        <v>1307</v>
      </c>
      <c r="F189" s="79" t="s">
        <v>78</v>
      </c>
      <c r="G189" s="80" t="s">
        <v>1267</v>
      </c>
      <c r="H189" s="81">
        <v>67516</v>
      </c>
      <c r="I189" s="109"/>
      <c r="J189" s="110">
        <v>83</v>
      </c>
      <c r="K189" s="99" t="s">
        <v>126</v>
      </c>
      <c r="L189" s="84">
        <v>46099</v>
      </c>
      <c r="M189" s="85">
        <v>46111</v>
      </c>
      <c r="N189" s="86">
        <v>46114</v>
      </c>
      <c r="O189" s="87">
        <v>0</v>
      </c>
      <c r="P189" s="88">
        <v>0</v>
      </c>
      <c r="Q189" s="89">
        <v>46136</v>
      </c>
      <c r="R189" s="96">
        <v>46164</v>
      </c>
      <c r="S189" s="86" cm="1">
        <f t="array" ref="S189">WORKDAY(R189,10)</f>
        <v>46178</v>
      </c>
      <c r="T189" s="87">
        <v>0</v>
      </c>
      <c r="U189" s="91" t="s">
        <v>105</v>
      </c>
      <c r="V189" s="92">
        <v>0</v>
      </c>
      <c r="W189" s="93" cm="1">
        <f t="array" ref="W189">WORKDAY(X189,-20)</f>
        <v>46203</v>
      </c>
      <c r="X189" s="80" t="s">
        <v>1308</v>
      </c>
      <c r="Y189" s="88">
        <v>0</v>
      </c>
      <c r="Z189" s="93">
        <v>46234</v>
      </c>
      <c r="AA189" s="90">
        <v>46287</v>
      </c>
      <c r="AB189" s="88">
        <v>0</v>
      </c>
      <c r="AC189" s="79" t="s">
        <v>49</v>
      </c>
      <c r="AD189" s="79" t="s">
        <v>49</v>
      </c>
      <c r="AE189" s="90"/>
      <c r="AF189" s="88">
        <v>0</v>
      </c>
      <c r="AG189" s="93" cm="1">
        <f t="array" ref="AG189">WORKDAY(AA189,2)</f>
        <v>46289</v>
      </c>
      <c r="AH189" s="90" cm="1">
        <f t="array" ref="AH189">WORKDAY(AG189,1)</f>
        <v>46290</v>
      </c>
      <c r="AI189" s="86" cm="1">
        <f t="array" ref="AI189">WORKDAY(AH189,1)</f>
        <v>46293</v>
      </c>
      <c r="AJ189" s="145"/>
      <c r="AK189" s="56"/>
    </row>
    <row r="190" spans="1:37" ht="25.5" customHeight="1">
      <c r="A190" s="140" cm="1">
        <f t="array" ref="A190">A189+1</f>
        <v>175</v>
      </c>
      <c r="B190" s="79" t="s">
        <v>351</v>
      </c>
      <c r="C190" s="97">
        <v>1</v>
      </c>
      <c r="D190" s="79" t="s">
        <v>341</v>
      </c>
      <c r="E190" s="79" t="s">
        <v>352</v>
      </c>
      <c r="F190" s="79"/>
      <c r="G190" s="80" t="s">
        <v>327</v>
      </c>
      <c r="H190" s="81">
        <v>54914</v>
      </c>
      <c r="I190" s="82">
        <v>90</v>
      </c>
      <c r="J190" s="98"/>
      <c r="K190" s="100">
        <v>0.25</v>
      </c>
      <c r="L190" s="84">
        <v>46099</v>
      </c>
      <c r="M190" s="85">
        <v>46142</v>
      </c>
      <c r="N190" s="86" cm="1">
        <f t="array" ref="N190">WORKDAY(M190,5)</f>
        <v>46149</v>
      </c>
      <c r="O190" s="87">
        <v>0</v>
      </c>
      <c r="P190" s="88">
        <v>0</v>
      </c>
      <c r="Q190" s="89">
        <v>46113</v>
      </c>
      <c r="R190" s="96">
        <v>46136</v>
      </c>
      <c r="S190" s="86" cm="1">
        <f t="array" ref="S190">WORKDAY(R190,10)</f>
        <v>46150</v>
      </c>
      <c r="T190" s="87">
        <v>0</v>
      </c>
      <c r="U190" s="91" t="s">
        <v>114</v>
      </c>
      <c r="V190" s="92">
        <v>0</v>
      </c>
      <c r="W190" s="93" cm="1">
        <f t="array" ref="W190">WORKDAY(X190,-20)</f>
        <v>46203</v>
      </c>
      <c r="X190" s="90">
        <v>46231</v>
      </c>
      <c r="Y190" s="88">
        <v>0</v>
      </c>
      <c r="Z190" s="93">
        <v>46246</v>
      </c>
      <c r="AA190" s="90">
        <v>46288</v>
      </c>
      <c r="AB190" s="88">
        <v>0</v>
      </c>
      <c r="AC190" s="79" t="s">
        <v>49</v>
      </c>
      <c r="AD190" s="79" t="s">
        <v>49</v>
      </c>
      <c r="AE190" s="90"/>
      <c r="AF190" s="88">
        <v>0</v>
      </c>
      <c r="AG190" s="93" cm="1">
        <f t="array" ref="AG190">WORKDAY(AA190,2)</f>
        <v>46290</v>
      </c>
      <c r="AH190" s="90" cm="1">
        <f t="array" ref="AH190">WORKDAY(AG190,1)</f>
        <v>46293</v>
      </c>
      <c r="AI190" s="86" cm="1">
        <f t="array" ref="AI190">WORKDAY(AH190,1)</f>
        <v>46294</v>
      </c>
      <c r="AJ190" s="144"/>
      <c r="AK190" s="56"/>
    </row>
    <row r="191" spans="1:37" ht="25.5" customHeight="1">
      <c r="A191" s="140" cm="1">
        <f t="array" ref="A191">A190+1</f>
        <v>176</v>
      </c>
      <c r="B191" s="79" t="s">
        <v>353</v>
      </c>
      <c r="C191" s="97">
        <v>1</v>
      </c>
      <c r="D191" s="79" t="s">
        <v>341</v>
      </c>
      <c r="E191" s="79" t="s">
        <v>354</v>
      </c>
      <c r="F191" s="79"/>
      <c r="G191" s="80" t="s">
        <v>327</v>
      </c>
      <c r="H191" s="81">
        <v>54914</v>
      </c>
      <c r="I191" s="82">
        <v>91</v>
      </c>
      <c r="J191" s="98"/>
      <c r="K191" s="100">
        <v>0.1</v>
      </c>
      <c r="L191" s="84">
        <v>46099</v>
      </c>
      <c r="M191" s="85">
        <v>46142</v>
      </c>
      <c r="N191" s="86" cm="1">
        <f t="array" ref="N191">WORKDAY(M191,5)</f>
        <v>46149</v>
      </c>
      <c r="O191" s="87">
        <v>0</v>
      </c>
      <c r="P191" s="88">
        <v>0</v>
      </c>
      <c r="Q191" s="89">
        <v>46113</v>
      </c>
      <c r="R191" s="96">
        <v>46136</v>
      </c>
      <c r="S191" s="86" cm="1">
        <f t="array" ref="S191">WORKDAY(R191,10)</f>
        <v>46150</v>
      </c>
      <c r="T191" s="87">
        <v>0</v>
      </c>
      <c r="U191" s="91" t="s">
        <v>114</v>
      </c>
      <c r="V191" s="92">
        <v>0</v>
      </c>
      <c r="W191" s="93" cm="1">
        <f t="array" ref="W191">WORKDAY(X191,-20)</f>
        <v>46204</v>
      </c>
      <c r="X191" s="90">
        <v>46232</v>
      </c>
      <c r="Y191" s="88">
        <v>0</v>
      </c>
      <c r="Z191" s="93">
        <v>46246</v>
      </c>
      <c r="AA191" s="90">
        <v>46288</v>
      </c>
      <c r="AB191" s="88">
        <v>0</v>
      </c>
      <c r="AC191" s="79" t="s">
        <v>49</v>
      </c>
      <c r="AD191" s="79" t="s">
        <v>49</v>
      </c>
      <c r="AE191" s="90"/>
      <c r="AF191" s="88">
        <v>0</v>
      </c>
      <c r="AG191" s="93" cm="1">
        <f t="array" ref="AG191">WORKDAY(AA191,2)</f>
        <v>46290</v>
      </c>
      <c r="AH191" s="90" cm="1">
        <f t="array" ref="AH191">WORKDAY(AG191,1)</f>
        <v>46293</v>
      </c>
      <c r="AI191" s="86" cm="1">
        <f t="array" ref="AI191">WORKDAY(AH191,1)</f>
        <v>46294</v>
      </c>
      <c r="AJ191" s="144"/>
      <c r="AK191" s="56"/>
    </row>
    <row r="192" spans="1:37" ht="25.5" customHeight="1">
      <c r="A192" s="140" cm="1">
        <f t="array" ref="A192">A191+1</f>
        <v>177</v>
      </c>
      <c r="B192" s="79" t="s">
        <v>1309</v>
      </c>
      <c r="C192" s="104">
        <v>2</v>
      </c>
      <c r="D192" s="79" t="s">
        <v>1208</v>
      </c>
      <c r="E192" s="79" t="s">
        <v>1310</v>
      </c>
      <c r="F192" s="79" t="s">
        <v>78</v>
      </c>
      <c r="G192" s="80" t="s">
        <v>1267</v>
      </c>
      <c r="H192" s="81">
        <v>67516</v>
      </c>
      <c r="I192" s="109"/>
      <c r="J192" s="110">
        <v>84</v>
      </c>
      <c r="K192" s="107" t="s">
        <v>1125</v>
      </c>
      <c r="L192" s="105" cm="1">
        <f t="array" ref="L192">WORKDAY(M192,-10)</f>
        <v>46133</v>
      </c>
      <c r="M192" s="85">
        <v>46147</v>
      </c>
      <c r="N192" s="86" cm="1">
        <f t="array" ref="N192">WORKDAY(M192,10)</f>
        <v>46161</v>
      </c>
      <c r="O192" s="87">
        <v>0</v>
      </c>
      <c r="P192" s="88">
        <v>0</v>
      </c>
      <c r="Q192" s="89">
        <v>46136</v>
      </c>
      <c r="R192" s="96">
        <v>46164</v>
      </c>
      <c r="S192" s="86" cm="1">
        <f t="array" ref="S192">WORKDAY(R192,10)</f>
        <v>46178</v>
      </c>
      <c r="T192" s="87">
        <v>0</v>
      </c>
      <c r="U192" s="91" t="s">
        <v>105</v>
      </c>
      <c r="V192" s="92">
        <v>0</v>
      </c>
      <c r="W192" s="93" cm="1">
        <f t="array" ref="W192">WORKDAY(X192,-20)</f>
        <v>46204</v>
      </c>
      <c r="X192" s="80" t="s">
        <v>1311</v>
      </c>
      <c r="Y192" s="88">
        <v>0</v>
      </c>
      <c r="Z192" s="93">
        <v>46237</v>
      </c>
      <c r="AA192" s="90">
        <v>46288</v>
      </c>
      <c r="AB192" s="88">
        <v>0</v>
      </c>
      <c r="AC192" s="79" t="s">
        <v>49</v>
      </c>
      <c r="AD192" s="79" t="s">
        <v>49</v>
      </c>
      <c r="AE192" s="90"/>
      <c r="AF192" s="88">
        <v>0</v>
      </c>
      <c r="AG192" s="93" cm="1">
        <f t="array" ref="AG192">WORKDAY(AA192,2)</f>
        <v>46290</v>
      </c>
      <c r="AH192" s="90" cm="1">
        <f t="array" ref="AH192">WORKDAY(AG192,1)</f>
        <v>46293</v>
      </c>
      <c r="AI192" s="86" cm="1">
        <f t="array" ref="AI192">WORKDAY(AH192,1)</f>
        <v>46294</v>
      </c>
      <c r="AJ192" s="145"/>
      <c r="AK192" s="56"/>
    </row>
    <row r="193" spans="1:37" ht="25.5" customHeight="1">
      <c r="A193" s="140" cm="1">
        <f t="array" ref="A193">A192+1</f>
        <v>178</v>
      </c>
      <c r="B193" s="79" t="s">
        <v>355</v>
      </c>
      <c r="C193" s="97">
        <v>1</v>
      </c>
      <c r="D193" s="79" t="s">
        <v>356</v>
      </c>
      <c r="E193" s="79" t="s">
        <v>357</v>
      </c>
      <c r="F193" s="79"/>
      <c r="G193" s="80" t="s">
        <v>254</v>
      </c>
      <c r="H193" s="81">
        <v>32373</v>
      </c>
      <c r="I193" s="82">
        <v>92</v>
      </c>
      <c r="J193" s="98"/>
      <c r="K193" s="100">
        <v>0.1</v>
      </c>
      <c r="L193" s="84">
        <v>46099</v>
      </c>
      <c r="M193" s="85">
        <v>46142</v>
      </c>
      <c r="N193" s="86" cm="1">
        <f t="array" ref="N193">WORKDAY(M193,5)</f>
        <v>46149</v>
      </c>
      <c r="O193" s="87">
        <v>0</v>
      </c>
      <c r="P193" s="88">
        <v>0</v>
      </c>
      <c r="Q193" s="89">
        <v>46113</v>
      </c>
      <c r="R193" s="96">
        <v>46136</v>
      </c>
      <c r="S193" s="86" cm="1">
        <f t="array" ref="S193">WORKDAY(R193,10)</f>
        <v>46150</v>
      </c>
      <c r="T193" s="87">
        <v>0</v>
      </c>
      <c r="U193" s="91" t="s">
        <v>105</v>
      </c>
      <c r="V193" s="92">
        <v>0</v>
      </c>
      <c r="W193" s="93" cm="1">
        <f t="array" ref="W193">WORKDAY(X193,-20)</f>
        <v>46209</v>
      </c>
      <c r="X193" s="90">
        <v>46237</v>
      </c>
      <c r="Y193" s="88">
        <v>0</v>
      </c>
      <c r="Z193" s="93">
        <v>46247</v>
      </c>
      <c r="AA193" s="90">
        <v>46289</v>
      </c>
      <c r="AB193" s="88">
        <v>0</v>
      </c>
      <c r="AC193" s="79" t="s">
        <v>49</v>
      </c>
      <c r="AD193" s="79" t="s">
        <v>49</v>
      </c>
      <c r="AE193" s="90"/>
      <c r="AF193" s="88">
        <v>0</v>
      </c>
      <c r="AG193" s="93" cm="1">
        <f t="array" ref="AG193">WORKDAY(AA193,2)</f>
        <v>46293</v>
      </c>
      <c r="AH193" s="90" cm="1">
        <f t="array" ref="AH193">WORKDAY(AG193,1)</f>
        <v>46294</v>
      </c>
      <c r="AI193" s="86" cm="1">
        <f t="array" ref="AI193">WORKDAY(AH193,1)</f>
        <v>46295</v>
      </c>
      <c r="AJ193" s="144"/>
      <c r="AK193" s="56"/>
    </row>
    <row r="194" spans="1:37" ht="25.5" customHeight="1">
      <c r="A194" s="140" cm="1">
        <f t="array" ref="A194">A193+1</f>
        <v>179</v>
      </c>
      <c r="B194" s="79" t="s">
        <v>358</v>
      </c>
      <c r="C194" s="97">
        <v>1</v>
      </c>
      <c r="D194" s="79" t="s">
        <v>359</v>
      </c>
      <c r="E194" s="79" t="s">
        <v>360</v>
      </c>
      <c r="F194" s="79"/>
      <c r="G194" s="80" t="s">
        <v>254</v>
      </c>
      <c r="H194" s="81">
        <v>32373</v>
      </c>
      <c r="I194" s="82">
        <v>93</v>
      </c>
      <c r="J194" s="98"/>
      <c r="K194" s="100">
        <v>0.1</v>
      </c>
      <c r="L194" s="84">
        <v>46099</v>
      </c>
      <c r="M194" s="85">
        <v>46142</v>
      </c>
      <c r="N194" s="86" cm="1">
        <f t="array" ref="N194">WORKDAY(M194,5)</f>
        <v>46149</v>
      </c>
      <c r="O194" s="87">
        <v>0</v>
      </c>
      <c r="P194" s="88">
        <v>0</v>
      </c>
      <c r="Q194" s="89">
        <v>46113</v>
      </c>
      <c r="R194" s="96">
        <v>46136</v>
      </c>
      <c r="S194" s="86" cm="1">
        <f t="array" ref="S194">WORKDAY(R194,10)</f>
        <v>46150</v>
      </c>
      <c r="T194" s="87">
        <v>0</v>
      </c>
      <c r="U194" s="91" t="s">
        <v>105</v>
      </c>
      <c r="V194" s="92">
        <v>0</v>
      </c>
      <c r="W194" s="93" cm="1">
        <f t="array" ref="W194">WORKDAY(X194,-20)</f>
        <v>46209</v>
      </c>
      <c r="X194" s="90">
        <v>46237</v>
      </c>
      <c r="Y194" s="88">
        <v>0</v>
      </c>
      <c r="Z194" s="93">
        <v>46247</v>
      </c>
      <c r="AA194" s="90">
        <v>46289</v>
      </c>
      <c r="AB194" s="88">
        <v>0</v>
      </c>
      <c r="AC194" s="79" t="s">
        <v>49</v>
      </c>
      <c r="AD194" s="79" t="s">
        <v>49</v>
      </c>
      <c r="AE194" s="90"/>
      <c r="AF194" s="88">
        <v>0</v>
      </c>
      <c r="AG194" s="93" cm="1">
        <f t="array" ref="AG194">WORKDAY(AA194,2)</f>
        <v>46293</v>
      </c>
      <c r="AH194" s="90" cm="1">
        <f t="array" ref="AH194">WORKDAY(AG194,1)</f>
        <v>46294</v>
      </c>
      <c r="AI194" s="86" cm="1">
        <f t="array" ref="AI194">WORKDAY(AH194,1)</f>
        <v>46295</v>
      </c>
      <c r="AJ194" s="144"/>
      <c r="AK194" s="56"/>
    </row>
    <row r="195" spans="1:37" ht="25.5" customHeight="1">
      <c r="A195" s="140" cm="1">
        <f t="array" ref="A195">A194+1</f>
        <v>180</v>
      </c>
      <c r="B195" s="79" t="s">
        <v>1312</v>
      </c>
      <c r="C195" s="104">
        <v>2</v>
      </c>
      <c r="D195" s="79" t="s">
        <v>1204</v>
      </c>
      <c r="E195" s="79" t="s">
        <v>1313</v>
      </c>
      <c r="F195" s="79" t="s">
        <v>78</v>
      </c>
      <c r="G195" s="80" t="s">
        <v>1267</v>
      </c>
      <c r="H195" s="81">
        <v>67516</v>
      </c>
      <c r="I195" s="109"/>
      <c r="J195" s="110">
        <v>85</v>
      </c>
      <c r="K195" s="107" t="s">
        <v>1125</v>
      </c>
      <c r="L195" s="84">
        <v>46099</v>
      </c>
      <c r="M195" s="85">
        <v>46115</v>
      </c>
      <c r="N195" s="86" cm="1">
        <f t="array" ref="N195">WORKDAY(M195,10)</f>
        <v>46129</v>
      </c>
      <c r="O195" s="87">
        <v>0</v>
      </c>
      <c r="P195" s="88">
        <v>0</v>
      </c>
      <c r="Q195" s="89">
        <v>46136</v>
      </c>
      <c r="R195" s="96">
        <v>46164</v>
      </c>
      <c r="S195" s="86" cm="1">
        <f t="array" ref="S195">WORKDAY(R195,10)</f>
        <v>46178</v>
      </c>
      <c r="T195" s="87">
        <v>0</v>
      </c>
      <c r="U195" s="91" t="s">
        <v>1314</v>
      </c>
      <c r="V195" s="92">
        <v>0</v>
      </c>
      <c r="W195" s="93" cm="1">
        <f t="array" ref="W195">WORKDAY(X195,-20)</f>
        <v>46205</v>
      </c>
      <c r="X195" s="80" t="s">
        <v>1315</v>
      </c>
      <c r="Y195" s="88">
        <v>0</v>
      </c>
      <c r="Z195" s="93">
        <v>46238</v>
      </c>
      <c r="AA195" s="90">
        <v>46289</v>
      </c>
      <c r="AB195" s="88">
        <v>0</v>
      </c>
      <c r="AC195" s="79" t="s">
        <v>49</v>
      </c>
      <c r="AD195" s="79" t="s">
        <v>49</v>
      </c>
      <c r="AE195" s="90"/>
      <c r="AF195" s="88">
        <v>0</v>
      </c>
      <c r="AG195" s="93" cm="1">
        <f t="array" ref="AG195">WORKDAY(AA195,2)</f>
        <v>46293</v>
      </c>
      <c r="AH195" s="90" cm="1">
        <f t="array" ref="AH195">WORKDAY(AG195,1)</f>
        <v>46294</v>
      </c>
      <c r="AI195" s="86" cm="1">
        <f t="array" ref="AI195">WORKDAY(AH195,1)</f>
        <v>46295</v>
      </c>
      <c r="AJ195" s="145"/>
      <c r="AK195" s="56"/>
    </row>
    <row r="196" spans="1:37" ht="25.5" customHeight="1">
      <c r="A196" s="140" cm="1">
        <f t="array" ref="A196">A195+1</f>
        <v>181</v>
      </c>
      <c r="B196" s="79" t="s">
        <v>361</v>
      </c>
      <c r="C196" s="104">
        <v>2</v>
      </c>
      <c r="D196" s="79" t="s">
        <v>362</v>
      </c>
      <c r="E196" s="79" t="s">
        <v>363</v>
      </c>
      <c r="F196" s="79"/>
      <c r="G196" s="80" t="s">
        <v>206</v>
      </c>
      <c r="H196" s="81">
        <v>51804</v>
      </c>
      <c r="I196" s="82">
        <v>94</v>
      </c>
      <c r="J196" s="98"/>
      <c r="K196" s="100">
        <v>0</v>
      </c>
      <c r="L196" s="105" cm="1">
        <f t="array" ref="L196">WORKDAY(M196,-10)</f>
        <v>46149</v>
      </c>
      <c r="M196" s="85">
        <v>46163</v>
      </c>
      <c r="N196" s="86" cm="1">
        <f t="array" ref="N196">WORKDAY(M196,10)</f>
        <v>46177</v>
      </c>
      <c r="O196" s="87">
        <v>0</v>
      </c>
      <c r="P196" s="88">
        <v>0</v>
      </c>
      <c r="Q196" s="89">
        <v>46136</v>
      </c>
      <c r="R196" s="96">
        <v>46164</v>
      </c>
      <c r="S196" s="86" cm="1">
        <f t="array" ref="S196">WORKDAY(R196,10)</f>
        <v>46178</v>
      </c>
      <c r="T196" s="87">
        <v>0</v>
      </c>
      <c r="U196" s="91" t="s">
        <v>105</v>
      </c>
      <c r="V196" s="92">
        <v>0</v>
      </c>
      <c r="W196" s="93" cm="1">
        <f t="array" ref="W196">WORKDAY(X196,-20)</f>
        <v>46210</v>
      </c>
      <c r="X196" s="90">
        <v>46238</v>
      </c>
      <c r="Y196" s="88">
        <v>0</v>
      </c>
      <c r="Z196" s="93">
        <v>46248</v>
      </c>
      <c r="AA196" s="90">
        <v>46290</v>
      </c>
      <c r="AB196" s="88">
        <v>0</v>
      </c>
      <c r="AC196" s="79" t="s">
        <v>49</v>
      </c>
      <c r="AD196" s="79" t="s">
        <v>49</v>
      </c>
      <c r="AE196" s="90"/>
      <c r="AF196" s="88">
        <v>0</v>
      </c>
      <c r="AG196" s="93" cm="1">
        <f t="array" ref="AG196">WORKDAY(AA196,2)</f>
        <v>46294</v>
      </c>
      <c r="AH196" s="90" cm="1">
        <f t="array" ref="AH196">WORKDAY(AG196,1)</f>
        <v>46295</v>
      </c>
      <c r="AI196" s="86" cm="1">
        <f t="array" ref="AI196">WORKDAY(AH196,1)</f>
        <v>46296</v>
      </c>
      <c r="AJ196" s="145"/>
      <c r="AK196" s="56"/>
    </row>
    <row r="197" spans="1:37" ht="25.5" customHeight="1">
      <c r="A197" s="140" cm="1">
        <f t="array" ref="A197">A196+1</f>
        <v>182</v>
      </c>
      <c r="B197" s="79" t="s">
        <v>364</v>
      </c>
      <c r="C197" s="104">
        <v>2</v>
      </c>
      <c r="D197" s="79" t="s">
        <v>362</v>
      </c>
      <c r="E197" s="79" t="s">
        <v>365</v>
      </c>
      <c r="F197" s="79"/>
      <c r="G197" s="80" t="s">
        <v>206</v>
      </c>
      <c r="H197" s="81">
        <v>51804</v>
      </c>
      <c r="I197" s="82">
        <v>95</v>
      </c>
      <c r="J197" s="98"/>
      <c r="K197" s="100">
        <v>0</v>
      </c>
      <c r="L197" s="105" cm="1">
        <f t="array" ref="L197">WORKDAY(M197,-10)</f>
        <v>46149</v>
      </c>
      <c r="M197" s="85">
        <v>46163</v>
      </c>
      <c r="N197" s="86" cm="1">
        <f t="array" ref="N197">WORKDAY(M197,10)</f>
        <v>46177</v>
      </c>
      <c r="O197" s="87">
        <v>0</v>
      </c>
      <c r="P197" s="88">
        <v>0</v>
      </c>
      <c r="Q197" s="89">
        <v>46136</v>
      </c>
      <c r="R197" s="96">
        <v>46164</v>
      </c>
      <c r="S197" s="86" cm="1">
        <f t="array" ref="S197">WORKDAY(R197,10)</f>
        <v>46178</v>
      </c>
      <c r="T197" s="87">
        <v>0</v>
      </c>
      <c r="U197" s="91" t="s">
        <v>105</v>
      </c>
      <c r="V197" s="92">
        <v>0</v>
      </c>
      <c r="W197" s="93" cm="1">
        <f t="array" ref="W197">WORKDAY(X197,-20)</f>
        <v>46211</v>
      </c>
      <c r="X197" s="90">
        <v>46239</v>
      </c>
      <c r="Y197" s="88">
        <v>0</v>
      </c>
      <c r="Z197" s="93">
        <v>46248</v>
      </c>
      <c r="AA197" s="90">
        <v>46290</v>
      </c>
      <c r="AB197" s="88">
        <v>0</v>
      </c>
      <c r="AC197" s="79" t="s">
        <v>49</v>
      </c>
      <c r="AD197" s="79" t="s">
        <v>49</v>
      </c>
      <c r="AE197" s="90"/>
      <c r="AF197" s="88">
        <v>0</v>
      </c>
      <c r="AG197" s="93" cm="1">
        <f t="array" ref="AG197">WORKDAY(AA197,2)</f>
        <v>46294</v>
      </c>
      <c r="AH197" s="90" cm="1">
        <f t="array" ref="AH197">WORKDAY(AG197,1)</f>
        <v>46295</v>
      </c>
      <c r="AI197" s="86" cm="1">
        <f t="array" ref="AI197">WORKDAY(AH197,1)</f>
        <v>46296</v>
      </c>
      <c r="AJ197" s="145"/>
      <c r="AK197" s="56"/>
    </row>
    <row r="198" spans="1:37" ht="25.5" customHeight="1">
      <c r="A198" s="140" cm="1">
        <f t="array" ref="A198">A197+1</f>
        <v>183</v>
      </c>
      <c r="B198" s="79" t="s">
        <v>1316</v>
      </c>
      <c r="C198" s="104">
        <v>2</v>
      </c>
      <c r="D198" s="79" t="s">
        <v>1208</v>
      </c>
      <c r="E198" s="79" t="s">
        <v>1317</v>
      </c>
      <c r="F198" s="79" t="s">
        <v>78</v>
      </c>
      <c r="G198" s="80" t="s">
        <v>1267</v>
      </c>
      <c r="H198" s="81">
        <v>67516</v>
      </c>
      <c r="I198" s="109"/>
      <c r="J198" s="110">
        <v>86</v>
      </c>
      <c r="K198" s="99" t="s">
        <v>126</v>
      </c>
      <c r="L198" s="84">
        <v>46099</v>
      </c>
      <c r="M198" s="85">
        <v>46111</v>
      </c>
      <c r="N198" s="86">
        <v>46114</v>
      </c>
      <c r="O198" s="87">
        <v>0</v>
      </c>
      <c r="P198" s="88">
        <v>0</v>
      </c>
      <c r="Q198" s="89">
        <v>46136</v>
      </c>
      <c r="R198" s="96">
        <v>46164</v>
      </c>
      <c r="S198" s="86" cm="1">
        <f t="array" ref="S198">WORKDAY(R198,10)</f>
        <v>46178</v>
      </c>
      <c r="T198" s="87">
        <v>0</v>
      </c>
      <c r="U198" s="91" t="s">
        <v>105</v>
      </c>
      <c r="V198" s="92">
        <v>0</v>
      </c>
      <c r="W198" s="93" cm="1">
        <f t="array" ref="W198">WORKDAY(X198,-20)</f>
        <v>46206</v>
      </c>
      <c r="X198" s="80" t="s">
        <v>1318</v>
      </c>
      <c r="Y198" s="88">
        <v>0</v>
      </c>
      <c r="Z198" s="93">
        <v>46239</v>
      </c>
      <c r="AA198" s="90">
        <v>46290</v>
      </c>
      <c r="AB198" s="88">
        <v>0</v>
      </c>
      <c r="AC198" s="79" t="s">
        <v>49</v>
      </c>
      <c r="AD198" s="79" t="s">
        <v>49</v>
      </c>
      <c r="AE198" s="90"/>
      <c r="AF198" s="88">
        <v>0</v>
      </c>
      <c r="AG198" s="93" cm="1">
        <f t="array" ref="AG198">WORKDAY(AA198,2)</f>
        <v>46294</v>
      </c>
      <c r="AH198" s="90" cm="1">
        <f t="array" ref="AH198">WORKDAY(AG198,1)</f>
        <v>46295</v>
      </c>
      <c r="AI198" s="86" cm="1">
        <f t="array" ref="AI198">WORKDAY(AH198,1)</f>
        <v>46296</v>
      </c>
      <c r="AJ198" s="145"/>
      <c r="AK198" s="56"/>
    </row>
    <row r="199" spans="1:37" ht="25.5" customHeight="1">
      <c r="A199" s="140" cm="1">
        <f t="array" ref="A199">A198+1</f>
        <v>184</v>
      </c>
      <c r="B199" s="79" t="s">
        <v>366</v>
      </c>
      <c r="C199" s="104">
        <v>2</v>
      </c>
      <c r="D199" s="79" t="s">
        <v>362</v>
      </c>
      <c r="E199" s="79" t="s">
        <v>367</v>
      </c>
      <c r="F199" s="79"/>
      <c r="G199" s="80" t="s">
        <v>206</v>
      </c>
      <c r="H199" s="81">
        <v>51804</v>
      </c>
      <c r="I199" s="79" t="s">
        <v>368</v>
      </c>
      <c r="J199" s="98"/>
      <c r="K199" s="100">
        <v>0</v>
      </c>
      <c r="L199" s="105" cm="1">
        <f t="array" ref="L199">WORKDAY(M199,-10)</f>
        <v>46149</v>
      </c>
      <c r="M199" s="85">
        <v>46163</v>
      </c>
      <c r="N199" s="86" cm="1">
        <f t="array" ref="N199">WORKDAY(M199,10)</f>
        <v>46177</v>
      </c>
      <c r="O199" s="87">
        <v>0</v>
      </c>
      <c r="P199" s="88">
        <v>0</v>
      </c>
      <c r="Q199" s="89">
        <v>46136</v>
      </c>
      <c r="R199" s="96">
        <v>46164</v>
      </c>
      <c r="S199" s="86" cm="1">
        <f t="array" ref="S199">WORKDAY(R199,10)</f>
        <v>46178</v>
      </c>
      <c r="T199" s="87">
        <v>0</v>
      </c>
      <c r="U199" s="91" t="s">
        <v>105</v>
      </c>
      <c r="V199" s="92">
        <v>0</v>
      </c>
      <c r="W199" s="93" cm="1">
        <f t="array" ref="W199">WORKDAY(X199,-20)</f>
        <v>46211</v>
      </c>
      <c r="X199" s="90">
        <v>46239</v>
      </c>
      <c r="Y199" s="88">
        <v>0</v>
      </c>
      <c r="Z199" s="93">
        <v>46251</v>
      </c>
      <c r="AA199" s="90">
        <v>46293</v>
      </c>
      <c r="AB199" s="88">
        <v>0</v>
      </c>
      <c r="AC199" s="79" t="s">
        <v>49</v>
      </c>
      <c r="AD199" s="79" t="s">
        <v>49</v>
      </c>
      <c r="AE199" s="90"/>
      <c r="AF199" s="88">
        <v>0</v>
      </c>
      <c r="AG199" s="93" cm="1">
        <f t="array" ref="AG199">WORKDAY(AA199,2)</f>
        <v>46295</v>
      </c>
      <c r="AH199" s="90" cm="1">
        <f t="array" ref="AH199">WORKDAY(AG199,1)</f>
        <v>46296</v>
      </c>
      <c r="AI199" s="86" cm="1">
        <f t="array" ref="AI199">WORKDAY(AH199,1)</f>
        <v>46297</v>
      </c>
      <c r="AJ199" s="145"/>
      <c r="AK199" s="56"/>
    </row>
    <row r="200" spans="1:37" ht="25.5" customHeight="1">
      <c r="A200" s="140" cm="1">
        <f t="array" ref="A200">A199+1</f>
        <v>185</v>
      </c>
      <c r="B200" s="79" t="s">
        <v>1319</v>
      </c>
      <c r="C200" s="104">
        <v>2</v>
      </c>
      <c r="D200" s="79" t="s">
        <v>1208</v>
      </c>
      <c r="E200" s="79" t="s">
        <v>1320</v>
      </c>
      <c r="F200" s="79" t="s">
        <v>78</v>
      </c>
      <c r="G200" s="80" t="s">
        <v>1267</v>
      </c>
      <c r="H200" s="81">
        <v>67516</v>
      </c>
      <c r="I200" s="109"/>
      <c r="J200" s="110">
        <v>87</v>
      </c>
      <c r="K200" s="99" t="s">
        <v>126</v>
      </c>
      <c r="L200" s="84">
        <v>46099</v>
      </c>
      <c r="M200" s="85">
        <v>46111</v>
      </c>
      <c r="N200" s="86">
        <v>46114</v>
      </c>
      <c r="O200" s="87">
        <v>0</v>
      </c>
      <c r="P200" s="88">
        <v>0</v>
      </c>
      <c r="Q200" s="89">
        <v>46136</v>
      </c>
      <c r="R200" s="96">
        <v>46164</v>
      </c>
      <c r="S200" s="86" cm="1">
        <f t="array" ref="S200">WORKDAY(R200,10)</f>
        <v>46178</v>
      </c>
      <c r="T200" s="87">
        <v>0</v>
      </c>
      <c r="U200" s="91" t="s">
        <v>105</v>
      </c>
      <c r="V200" s="92">
        <v>0</v>
      </c>
      <c r="W200" s="93" cm="1">
        <f t="array" ref="W200">WORKDAY(X200,-20)</f>
        <v>46209</v>
      </c>
      <c r="X200" s="90">
        <v>46237</v>
      </c>
      <c r="Y200" s="88">
        <v>0</v>
      </c>
      <c r="Z200" s="93">
        <v>46240</v>
      </c>
      <c r="AA200" s="90">
        <v>46293</v>
      </c>
      <c r="AB200" s="88">
        <v>0</v>
      </c>
      <c r="AC200" s="79" t="s">
        <v>49</v>
      </c>
      <c r="AD200" s="79" t="s">
        <v>49</v>
      </c>
      <c r="AE200" s="90"/>
      <c r="AF200" s="88">
        <v>0</v>
      </c>
      <c r="AG200" s="93" cm="1">
        <f t="array" ref="AG200">WORKDAY(AA200,2)</f>
        <v>46295</v>
      </c>
      <c r="AH200" s="90" cm="1">
        <f t="array" ref="AH200">WORKDAY(AG200,1)</f>
        <v>46296</v>
      </c>
      <c r="AI200" s="86" cm="1">
        <f t="array" ref="AI200">WORKDAY(AH200,1)</f>
        <v>46297</v>
      </c>
      <c r="AJ200" s="145"/>
      <c r="AK200" s="56"/>
    </row>
    <row r="201" spans="1:37" ht="25.5" customHeight="1">
      <c r="A201" s="140" cm="1">
        <f t="array" ref="A201">A200+1</f>
        <v>186</v>
      </c>
      <c r="B201" s="79" t="s">
        <v>369</v>
      </c>
      <c r="C201" s="104">
        <v>2</v>
      </c>
      <c r="D201" s="79" t="s">
        <v>362</v>
      </c>
      <c r="E201" s="79" t="s">
        <v>370</v>
      </c>
      <c r="F201" s="79"/>
      <c r="G201" s="80" t="s">
        <v>206</v>
      </c>
      <c r="H201" s="81">
        <v>51804</v>
      </c>
      <c r="I201" s="79" t="s">
        <v>371</v>
      </c>
      <c r="J201" s="98"/>
      <c r="K201" s="100">
        <v>0</v>
      </c>
      <c r="L201" s="105" cm="1">
        <f t="array" ref="L201">WORKDAY(M201,-10)</f>
        <v>46149</v>
      </c>
      <c r="M201" s="85">
        <v>46163</v>
      </c>
      <c r="N201" s="86" cm="1">
        <f t="array" ref="N201">WORKDAY(M201,10)</f>
        <v>46177</v>
      </c>
      <c r="O201" s="87">
        <v>0</v>
      </c>
      <c r="P201" s="88">
        <v>0</v>
      </c>
      <c r="Q201" s="89">
        <v>46136</v>
      </c>
      <c r="R201" s="96">
        <v>46164</v>
      </c>
      <c r="S201" s="86" cm="1">
        <f t="array" ref="S201">WORKDAY(R201,10)</f>
        <v>46178</v>
      </c>
      <c r="T201" s="87">
        <v>0</v>
      </c>
      <c r="U201" s="91" t="s">
        <v>105</v>
      </c>
      <c r="V201" s="92">
        <v>0</v>
      </c>
      <c r="W201" s="93" cm="1">
        <f t="array" ref="W201">WORKDAY(X201,-20)</f>
        <v>46212</v>
      </c>
      <c r="X201" s="90">
        <v>46240</v>
      </c>
      <c r="Y201" s="88">
        <v>0</v>
      </c>
      <c r="Z201" s="93">
        <v>46252</v>
      </c>
      <c r="AA201" s="90">
        <v>46294</v>
      </c>
      <c r="AB201" s="88">
        <v>0</v>
      </c>
      <c r="AC201" s="79" t="s">
        <v>49</v>
      </c>
      <c r="AD201" s="79" t="s">
        <v>49</v>
      </c>
      <c r="AE201" s="90"/>
      <c r="AF201" s="88">
        <v>0</v>
      </c>
      <c r="AG201" s="93" cm="1">
        <f t="array" ref="AG201">WORKDAY(AA201,2)</f>
        <v>46296</v>
      </c>
      <c r="AH201" s="90" cm="1">
        <f t="array" ref="AH201">WORKDAY(AG201,1)</f>
        <v>46297</v>
      </c>
      <c r="AI201" s="86" cm="1">
        <f t="array" ref="AI201">WORKDAY(AH201,1)</f>
        <v>46300</v>
      </c>
      <c r="AJ201" s="145"/>
      <c r="AK201" s="56"/>
    </row>
    <row r="202" spans="1:37" ht="25.5" customHeight="1">
      <c r="A202" s="140" cm="1">
        <f t="array" ref="A202">A201+1</f>
        <v>187</v>
      </c>
      <c r="B202" s="79" t="s">
        <v>372</v>
      </c>
      <c r="C202" s="104">
        <v>2</v>
      </c>
      <c r="D202" s="79" t="s">
        <v>362</v>
      </c>
      <c r="E202" s="79" t="s">
        <v>373</v>
      </c>
      <c r="F202" s="79"/>
      <c r="G202" s="80" t="s">
        <v>206</v>
      </c>
      <c r="H202" s="81">
        <v>51804</v>
      </c>
      <c r="I202" s="79" t="s">
        <v>374</v>
      </c>
      <c r="J202" s="98"/>
      <c r="K202" s="100">
        <v>0</v>
      </c>
      <c r="L202" s="105" cm="1">
        <f t="array" ref="L202">WORKDAY(M202,-10)</f>
        <v>46149</v>
      </c>
      <c r="M202" s="85">
        <v>46163</v>
      </c>
      <c r="N202" s="86" cm="1">
        <f t="array" ref="N202">WORKDAY(M202,10)</f>
        <v>46177</v>
      </c>
      <c r="O202" s="87">
        <v>0</v>
      </c>
      <c r="P202" s="88">
        <v>0</v>
      </c>
      <c r="Q202" s="89">
        <v>46136</v>
      </c>
      <c r="R202" s="96">
        <v>46164</v>
      </c>
      <c r="S202" s="86" cm="1">
        <f t="array" ref="S202">WORKDAY(R202,10)</f>
        <v>46178</v>
      </c>
      <c r="T202" s="87">
        <v>0</v>
      </c>
      <c r="U202" s="91" t="s">
        <v>105</v>
      </c>
      <c r="V202" s="92">
        <v>0</v>
      </c>
      <c r="W202" s="93" cm="1">
        <f t="array" ref="W202">WORKDAY(X202,-20)</f>
        <v>46213</v>
      </c>
      <c r="X202" s="90">
        <v>46241</v>
      </c>
      <c r="Y202" s="88">
        <v>0</v>
      </c>
      <c r="Z202" s="93">
        <v>46252</v>
      </c>
      <c r="AA202" s="90">
        <v>46294</v>
      </c>
      <c r="AB202" s="88">
        <v>0</v>
      </c>
      <c r="AC202" s="79" t="s">
        <v>49</v>
      </c>
      <c r="AD202" s="79" t="s">
        <v>49</v>
      </c>
      <c r="AE202" s="90"/>
      <c r="AF202" s="88">
        <v>0</v>
      </c>
      <c r="AG202" s="93" cm="1">
        <f t="array" ref="AG202">WORKDAY(AA202,2)</f>
        <v>46296</v>
      </c>
      <c r="AH202" s="90" cm="1">
        <f t="array" ref="AH202">WORKDAY(AG202,1)</f>
        <v>46297</v>
      </c>
      <c r="AI202" s="86" cm="1">
        <f t="array" ref="AI202">WORKDAY(AH202,1)</f>
        <v>46300</v>
      </c>
      <c r="AJ202" s="145"/>
      <c r="AK202" s="56"/>
    </row>
    <row r="203" spans="1:37" ht="25.5" customHeight="1">
      <c r="A203" s="140" cm="1">
        <f t="array" ref="A203">A202+1</f>
        <v>188</v>
      </c>
      <c r="B203" s="79" t="s">
        <v>1321</v>
      </c>
      <c r="C203" s="104">
        <v>2</v>
      </c>
      <c r="D203" s="79" t="s">
        <v>1208</v>
      </c>
      <c r="E203" s="79" t="s">
        <v>1322</v>
      </c>
      <c r="F203" s="79" t="s">
        <v>78</v>
      </c>
      <c r="G203" s="80" t="s">
        <v>1267</v>
      </c>
      <c r="H203" s="81">
        <v>67516</v>
      </c>
      <c r="I203" s="109"/>
      <c r="J203" s="110">
        <v>88</v>
      </c>
      <c r="K203" s="99" t="s">
        <v>126</v>
      </c>
      <c r="L203" s="84">
        <v>46099</v>
      </c>
      <c r="M203" s="85">
        <v>46111</v>
      </c>
      <c r="N203" s="86">
        <v>46114</v>
      </c>
      <c r="O203" s="87">
        <v>0</v>
      </c>
      <c r="P203" s="88">
        <v>0</v>
      </c>
      <c r="Q203" s="89">
        <v>46136</v>
      </c>
      <c r="R203" s="96">
        <v>46164</v>
      </c>
      <c r="S203" s="86" cm="1">
        <f t="array" ref="S203">WORKDAY(R203,10)</f>
        <v>46178</v>
      </c>
      <c r="T203" s="87">
        <v>0</v>
      </c>
      <c r="U203" s="91" t="s">
        <v>105</v>
      </c>
      <c r="V203" s="92">
        <v>0</v>
      </c>
      <c r="W203" s="93" cm="1">
        <f t="array" ref="W203">WORKDAY(X203,-20)</f>
        <v>46210</v>
      </c>
      <c r="X203" s="90">
        <v>46238</v>
      </c>
      <c r="Y203" s="88">
        <v>0</v>
      </c>
      <c r="Z203" s="93">
        <v>46241</v>
      </c>
      <c r="AA203" s="90">
        <v>46294</v>
      </c>
      <c r="AB203" s="88">
        <v>0</v>
      </c>
      <c r="AC203" s="79" t="s">
        <v>49</v>
      </c>
      <c r="AD203" s="79" t="s">
        <v>49</v>
      </c>
      <c r="AE203" s="90"/>
      <c r="AF203" s="88">
        <v>0</v>
      </c>
      <c r="AG203" s="93" cm="1">
        <f t="array" ref="AG203">WORKDAY(AA203,2)</f>
        <v>46296</v>
      </c>
      <c r="AH203" s="90" cm="1">
        <f t="array" ref="AH203">WORKDAY(AG203,1)</f>
        <v>46297</v>
      </c>
      <c r="AI203" s="86" cm="1">
        <f t="array" ref="AI203">WORKDAY(AH203,1)</f>
        <v>46300</v>
      </c>
      <c r="AJ203" s="145"/>
      <c r="AK203" s="56"/>
    </row>
    <row r="204" spans="1:37" ht="25.5" customHeight="1">
      <c r="A204" s="140" cm="1">
        <f t="array" ref="A204">A203+1</f>
        <v>189</v>
      </c>
      <c r="B204" s="79" t="s">
        <v>375</v>
      </c>
      <c r="C204" s="104">
        <v>2</v>
      </c>
      <c r="D204" s="79" t="s">
        <v>362</v>
      </c>
      <c r="E204" s="79" t="s">
        <v>376</v>
      </c>
      <c r="F204" s="79"/>
      <c r="G204" s="80" t="s">
        <v>206</v>
      </c>
      <c r="H204" s="81">
        <v>51804</v>
      </c>
      <c r="I204" s="79" t="s">
        <v>377</v>
      </c>
      <c r="J204" s="98"/>
      <c r="K204" s="100">
        <v>0</v>
      </c>
      <c r="L204" s="105" cm="1">
        <f t="array" ref="L204">WORKDAY(M204,-10)</f>
        <v>46149</v>
      </c>
      <c r="M204" s="85">
        <v>46163</v>
      </c>
      <c r="N204" s="86" cm="1">
        <f t="array" ref="N204">WORKDAY(M204,10)</f>
        <v>46177</v>
      </c>
      <c r="O204" s="87">
        <v>0</v>
      </c>
      <c r="P204" s="88">
        <v>0</v>
      </c>
      <c r="Q204" s="89">
        <v>46136</v>
      </c>
      <c r="R204" s="96">
        <v>46164</v>
      </c>
      <c r="S204" s="86" cm="1">
        <f t="array" ref="S204">WORKDAY(R204,10)</f>
        <v>46178</v>
      </c>
      <c r="T204" s="87">
        <v>0</v>
      </c>
      <c r="U204" s="91" t="s">
        <v>105</v>
      </c>
      <c r="V204" s="92">
        <v>0</v>
      </c>
      <c r="W204" s="93" cm="1">
        <f t="array" ref="W204">WORKDAY(X204,-20)</f>
        <v>46213</v>
      </c>
      <c r="X204" s="90">
        <v>46241</v>
      </c>
      <c r="Y204" s="88">
        <v>0</v>
      </c>
      <c r="Z204" s="93">
        <v>46253</v>
      </c>
      <c r="AA204" s="90">
        <v>46295</v>
      </c>
      <c r="AB204" s="88">
        <v>0</v>
      </c>
      <c r="AC204" s="79" t="s">
        <v>49</v>
      </c>
      <c r="AD204" s="79" t="s">
        <v>49</v>
      </c>
      <c r="AE204" s="90"/>
      <c r="AF204" s="88">
        <v>0</v>
      </c>
      <c r="AG204" s="93" cm="1">
        <f t="array" ref="AG204">WORKDAY(AA204,2)</f>
        <v>46297</v>
      </c>
      <c r="AH204" s="90" cm="1">
        <f t="array" ref="AH204">WORKDAY(AG204,1)</f>
        <v>46300</v>
      </c>
      <c r="AI204" s="86" cm="1">
        <f t="array" ref="AI204">WORKDAY(AH204,1)</f>
        <v>46301</v>
      </c>
      <c r="AJ204" s="145"/>
      <c r="AK204" s="56"/>
    </row>
    <row r="205" spans="1:37" ht="25.5" customHeight="1">
      <c r="A205" s="140" cm="1">
        <f t="array" ref="A205">A204+1</f>
        <v>190</v>
      </c>
      <c r="B205" s="79" t="s">
        <v>1323</v>
      </c>
      <c r="C205" s="104">
        <v>2</v>
      </c>
      <c r="D205" s="79" t="s">
        <v>1208</v>
      </c>
      <c r="E205" s="79" t="s">
        <v>1324</v>
      </c>
      <c r="F205" s="79" t="s">
        <v>78</v>
      </c>
      <c r="G205" s="80" t="s">
        <v>1267</v>
      </c>
      <c r="H205" s="81">
        <v>67516</v>
      </c>
      <c r="I205" s="109"/>
      <c r="J205" s="110">
        <v>89</v>
      </c>
      <c r="K205" s="99" t="s">
        <v>126</v>
      </c>
      <c r="L205" s="84">
        <v>46099</v>
      </c>
      <c r="M205" s="85">
        <v>46111</v>
      </c>
      <c r="N205" s="86">
        <v>46114</v>
      </c>
      <c r="O205" s="87">
        <v>0</v>
      </c>
      <c r="P205" s="88">
        <v>0</v>
      </c>
      <c r="Q205" s="89">
        <v>46136</v>
      </c>
      <c r="R205" s="96">
        <v>46164</v>
      </c>
      <c r="S205" s="86" cm="1">
        <f t="array" ref="S205">WORKDAY(R205,10)</f>
        <v>46178</v>
      </c>
      <c r="T205" s="87">
        <v>0</v>
      </c>
      <c r="U205" s="91" t="s">
        <v>105</v>
      </c>
      <c r="V205" s="92">
        <v>0</v>
      </c>
      <c r="W205" s="93" cm="1">
        <f t="array" ref="W205">WORKDAY(X205,-20)</f>
        <v>46210</v>
      </c>
      <c r="X205" s="90">
        <v>46238</v>
      </c>
      <c r="Y205" s="88">
        <v>0</v>
      </c>
      <c r="Z205" s="93">
        <v>46241</v>
      </c>
      <c r="AA205" s="90">
        <v>46295</v>
      </c>
      <c r="AB205" s="88">
        <v>0</v>
      </c>
      <c r="AC205" s="79" t="s">
        <v>49</v>
      </c>
      <c r="AD205" s="79" t="s">
        <v>49</v>
      </c>
      <c r="AE205" s="90"/>
      <c r="AF205" s="88">
        <v>0</v>
      </c>
      <c r="AG205" s="93" cm="1">
        <f t="array" ref="AG205">WORKDAY(AA205,2)</f>
        <v>46297</v>
      </c>
      <c r="AH205" s="90" cm="1">
        <f t="array" ref="AH205">WORKDAY(AG205,1)</f>
        <v>46300</v>
      </c>
      <c r="AI205" s="86" cm="1">
        <f t="array" ref="AI205">WORKDAY(AH205,1)</f>
        <v>46301</v>
      </c>
      <c r="AJ205" s="145"/>
      <c r="AK205" s="56"/>
    </row>
    <row r="206" spans="1:37" ht="25.5" customHeight="1">
      <c r="A206" s="140" cm="1">
        <f t="array" ref="A206">A205+1</f>
        <v>191</v>
      </c>
      <c r="B206" s="79" t="s">
        <v>1325</v>
      </c>
      <c r="C206" s="104">
        <v>2</v>
      </c>
      <c r="D206" s="79" t="s">
        <v>1208</v>
      </c>
      <c r="E206" s="79" t="s">
        <v>1326</v>
      </c>
      <c r="F206" s="79" t="s">
        <v>78</v>
      </c>
      <c r="G206" s="80" t="s">
        <v>1267</v>
      </c>
      <c r="H206" s="81">
        <v>67516</v>
      </c>
      <c r="I206" s="109"/>
      <c r="J206" s="110">
        <v>90</v>
      </c>
      <c r="K206" s="99" t="s">
        <v>126</v>
      </c>
      <c r="L206" s="84">
        <v>46099</v>
      </c>
      <c r="M206" s="85">
        <v>46111</v>
      </c>
      <c r="N206" s="86">
        <v>46114</v>
      </c>
      <c r="O206" s="87">
        <v>0</v>
      </c>
      <c r="P206" s="88">
        <v>0</v>
      </c>
      <c r="Q206" s="89">
        <v>46136</v>
      </c>
      <c r="R206" s="96">
        <v>46164</v>
      </c>
      <c r="S206" s="86" cm="1">
        <f t="array" ref="S206">WORKDAY(R206,10)</f>
        <v>46178</v>
      </c>
      <c r="T206" s="87">
        <v>0</v>
      </c>
      <c r="U206" s="91" t="s">
        <v>105</v>
      </c>
      <c r="V206" s="92">
        <v>0</v>
      </c>
      <c r="W206" s="93" cm="1">
        <f t="array" ref="W206">WORKDAY(X206,-20)</f>
        <v>46211</v>
      </c>
      <c r="X206" s="90">
        <v>46239</v>
      </c>
      <c r="Y206" s="88">
        <v>0</v>
      </c>
      <c r="Z206" s="93">
        <v>46244</v>
      </c>
      <c r="AA206" s="90">
        <v>46295</v>
      </c>
      <c r="AB206" s="88">
        <v>0</v>
      </c>
      <c r="AC206" s="79" t="s">
        <v>49</v>
      </c>
      <c r="AD206" s="79" t="s">
        <v>49</v>
      </c>
      <c r="AE206" s="90"/>
      <c r="AF206" s="88">
        <v>0</v>
      </c>
      <c r="AG206" s="93" cm="1">
        <f t="array" ref="AG206">WORKDAY(AA206,2)</f>
        <v>46297</v>
      </c>
      <c r="AH206" s="90" cm="1">
        <f t="array" ref="AH206">WORKDAY(AG206,1)</f>
        <v>46300</v>
      </c>
      <c r="AI206" s="86" cm="1">
        <f t="array" ref="AI206">WORKDAY(AH206,1)</f>
        <v>46301</v>
      </c>
      <c r="AJ206" s="145"/>
      <c r="AK206" s="56"/>
    </row>
    <row r="207" spans="1:37" ht="25.5" customHeight="1">
      <c r="A207" s="140" cm="1">
        <f t="array" ref="A207">A206+1</f>
        <v>192</v>
      </c>
      <c r="B207" s="79" t="s">
        <v>378</v>
      </c>
      <c r="C207" s="104">
        <v>2</v>
      </c>
      <c r="D207" s="79" t="s">
        <v>362</v>
      </c>
      <c r="E207" s="79" t="s">
        <v>379</v>
      </c>
      <c r="F207" s="79"/>
      <c r="G207" s="80" t="s">
        <v>206</v>
      </c>
      <c r="H207" s="81">
        <v>51804</v>
      </c>
      <c r="I207" s="79" t="s">
        <v>380</v>
      </c>
      <c r="J207" s="98"/>
      <c r="K207" s="100">
        <v>0</v>
      </c>
      <c r="L207" s="105" cm="1">
        <f t="array" ref="L207">WORKDAY(M207,-10)</f>
        <v>46149</v>
      </c>
      <c r="M207" s="85">
        <v>46163</v>
      </c>
      <c r="N207" s="86" cm="1">
        <f t="array" ref="N207">WORKDAY(M207,10)</f>
        <v>46177</v>
      </c>
      <c r="O207" s="87">
        <v>0</v>
      </c>
      <c r="P207" s="88">
        <v>0</v>
      </c>
      <c r="Q207" s="89">
        <v>46136</v>
      </c>
      <c r="R207" s="96">
        <v>46164</v>
      </c>
      <c r="S207" s="86" cm="1">
        <f t="array" ref="S207">WORKDAY(R207,10)</f>
        <v>46178</v>
      </c>
      <c r="T207" s="87">
        <v>0</v>
      </c>
      <c r="U207" s="91" t="s">
        <v>105</v>
      </c>
      <c r="V207" s="92">
        <v>0</v>
      </c>
      <c r="W207" s="93" cm="1">
        <f t="array" ref="W207">WORKDAY(X207,-20)</f>
        <v>46216</v>
      </c>
      <c r="X207" s="90">
        <v>46244</v>
      </c>
      <c r="Y207" s="88">
        <v>0</v>
      </c>
      <c r="Z207" s="93">
        <v>46254</v>
      </c>
      <c r="AA207" s="90">
        <v>46296</v>
      </c>
      <c r="AB207" s="88">
        <v>0</v>
      </c>
      <c r="AC207" s="79" t="s">
        <v>49</v>
      </c>
      <c r="AD207" s="79" t="s">
        <v>49</v>
      </c>
      <c r="AE207" s="90"/>
      <c r="AF207" s="88">
        <v>0</v>
      </c>
      <c r="AG207" s="93" cm="1">
        <f t="array" ref="AG207">WORKDAY(AA207,2)</f>
        <v>46300</v>
      </c>
      <c r="AH207" s="90" cm="1">
        <f t="array" ref="AH207">WORKDAY(AG207,1)</f>
        <v>46301</v>
      </c>
      <c r="AI207" s="86" cm="1">
        <f t="array" ref="AI207">WORKDAY(AH207,1)</f>
        <v>46302</v>
      </c>
      <c r="AJ207" s="145"/>
      <c r="AK207" s="56"/>
    </row>
    <row r="208" spans="1:37" ht="25.5" customHeight="1">
      <c r="A208" s="140" cm="1">
        <f t="array" ref="A208">A207+1</f>
        <v>193</v>
      </c>
      <c r="B208" s="79" t="s">
        <v>381</v>
      </c>
      <c r="C208" s="104">
        <v>2</v>
      </c>
      <c r="D208" s="79" t="s">
        <v>382</v>
      </c>
      <c r="E208" s="79" t="s">
        <v>383</v>
      </c>
      <c r="F208" s="79"/>
      <c r="G208" s="80" t="s">
        <v>206</v>
      </c>
      <c r="H208" s="81">
        <v>52359</v>
      </c>
      <c r="I208" s="79" t="s">
        <v>384</v>
      </c>
      <c r="J208" s="98"/>
      <c r="K208" s="100">
        <v>0</v>
      </c>
      <c r="L208" s="105" cm="1">
        <f t="array" ref="L208">WORKDAY(M208,-10)</f>
        <v>46149</v>
      </c>
      <c r="M208" s="85">
        <v>46163</v>
      </c>
      <c r="N208" s="86" cm="1">
        <f t="array" ref="N208">WORKDAY(M208,10)</f>
        <v>46177</v>
      </c>
      <c r="O208" s="87">
        <v>0</v>
      </c>
      <c r="P208" s="88">
        <v>0</v>
      </c>
      <c r="Q208" s="89">
        <v>46136</v>
      </c>
      <c r="R208" s="96">
        <v>46164</v>
      </c>
      <c r="S208" s="86" cm="1">
        <f t="array" ref="S208">WORKDAY(R208,10)</f>
        <v>46178</v>
      </c>
      <c r="T208" s="87">
        <v>0</v>
      </c>
      <c r="U208" s="91" t="s">
        <v>105</v>
      </c>
      <c r="V208" s="92">
        <v>0</v>
      </c>
      <c r="W208" s="93" cm="1">
        <f t="array" ref="W208">WORKDAY(X208,-20)</f>
        <v>46217</v>
      </c>
      <c r="X208" s="90">
        <v>46245</v>
      </c>
      <c r="Y208" s="88">
        <v>0</v>
      </c>
      <c r="Z208" s="93">
        <v>46254</v>
      </c>
      <c r="AA208" s="90">
        <v>46296</v>
      </c>
      <c r="AB208" s="88">
        <v>0</v>
      </c>
      <c r="AC208" s="79" t="s">
        <v>49</v>
      </c>
      <c r="AD208" s="79" t="s">
        <v>49</v>
      </c>
      <c r="AE208" s="90"/>
      <c r="AF208" s="88">
        <v>0</v>
      </c>
      <c r="AG208" s="93" cm="1">
        <f t="array" ref="AG208">WORKDAY(AA208,2)</f>
        <v>46300</v>
      </c>
      <c r="AH208" s="90" cm="1">
        <f t="array" ref="AH208">WORKDAY(AG208,1)</f>
        <v>46301</v>
      </c>
      <c r="AI208" s="86" cm="1">
        <f t="array" ref="AI208">WORKDAY(AH208,1)</f>
        <v>46302</v>
      </c>
      <c r="AJ208" s="145"/>
      <c r="AK208" s="56"/>
    </row>
    <row r="209" spans="1:37" ht="25.5" customHeight="1">
      <c r="A209" s="140" cm="1">
        <f t="array" ref="A209">A208+1</f>
        <v>194</v>
      </c>
      <c r="B209" s="79" t="s">
        <v>1327</v>
      </c>
      <c r="C209" s="104">
        <v>2</v>
      </c>
      <c r="D209" s="79" t="s">
        <v>1208</v>
      </c>
      <c r="E209" s="79" t="s">
        <v>1328</v>
      </c>
      <c r="F209" s="79" t="s">
        <v>78</v>
      </c>
      <c r="G209" s="80" t="s">
        <v>1267</v>
      </c>
      <c r="H209" s="81">
        <v>67516</v>
      </c>
      <c r="I209" s="109"/>
      <c r="J209" s="110">
        <v>91</v>
      </c>
      <c r="K209" s="107" t="s">
        <v>1125</v>
      </c>
      <c r="L209" s="105" cm="1">
        <f t="array" ref="L209">WORKDAY(M209,-10)</f>
        <v>46133</v>
      </c>
      <c r="M209" s="85">
        <v>46147</v>
      </c>
      <c r="N209" s="86" cm="1">
        <f t="array" ref="N209">WORKDAY(M209,10)</f>
        <v>46161</v>
      </c>
      <c r="O209" s="87">
        <v>0</v>
      </c>
      <c r="P209" s="88">
        <v>0</v>
      </c>
      <c r="Q209" s="89">
        <v>46136</v>
      </c>
      <c r="R209" s="96">
        <v>46164</v>
      </c>
      <c r="S209" s="86" cm="1">
        <f t="array" ref="S209">WORKDAY(R209,10)</f>
        <v>46178</v>
      </c>
      <c r="T209" s="87">
        <v>0</v>
      </c>
      <c r="U209" s="91" t="s">
        <v>105</v>
      </c>
      <c r="V209" s="92">
        <v>0</v>
      </c>
      <c r="W209" s="93" cm="1">
        <f t="array" ref="W209">WORKDAY(X209,-20)</f>
        <v>46212</v>
      </c>
      <c r="X209" s="90">
        <v>46240</v>
      </c>
      <c r="Y209" s="88">
        <v>0</v>
      </c>
      <c r="Z209" s="93">
        <v>46245</v>
      </c>
      <c r="AA209" s="90">
        <v>46296</v>
      </c>
      <c r="AB209" s="88">
        <v>0</v>
      </c>
      <c r="AC209" s="79" t="s">
        <v>49</v>
      </c>
      <c r="AD209" s="79" t="s">
        <v>49</v>
      </c>
      <c r="AE209" s="90"/>
      <c r="AF209" s="88">
        <v>0</v>
      </c>
      <c r="AG209" s="93" cm="1">
        <f t="array" ref="AG209">WORKDAY(AA209,2)</f>
        <v>46300</v>
      </c>
      <c r="AH209" s="90" cm="1">
        <f t="array" ref="AH209">WORKDAY(AG209,1)</f>
        <v>46301</v>
      </c>
      <c r="AI209" s="86" cm="1">
        <f t="array" ref="AI209">WORKDAY(AH209,1)</f>
        <v>46302</v>
      </c>
      <c r="AJ209" s="145"/>
      <c r="AK209" s="56"/>
    </row>
    <row r="210" spans="1:37" ht="25.5" customHeight="1">
      <c r="A210" s="140" cm="1">
        <f t="array" ref="A210">A209+1</f>
        <v>195</v>
      </c>
      <c r="B210" s="79" t="s">
        <v>385</v>
      </c>
      <c r="C210" s="104">
        <v>2</v>
      </c>
      <c r="D210" s="79" t="s">
        <v>382</v>
      </c>
      <c r="E210" s="79" t="s">
        <v>386</v>
      </c>
      <c r="F210" s="79"/>
      <c r="G210" s="80" t="s">
        <v>206</v>
      </c>
      <c r="H210" s="81">
        <v>52359</v>
      </c>
      <c r="I210" s="79" t="s">
        <v>387</v>
      </c>
      <c r="J210" s="98"/>
      <c r="K210" s="100">
        <v>0</v>
      </c>
      <c r="L210" s="105" cm="1">
        <f t="array" ref="L210">WORKDAY(M210,-10)</f>
        <v>46149</v>
      </c>
      <c r="M210" s="85">
        <v>46163</v>
      </c>
      <c r="N210" s="86" cm="1">
        <f t="array" ref="N210">WORKDAY(M210,10)</f>
        <v>46177</v>
      </c>
      <c r="O210" s="87">
        <v>0</v>
      </c>
      <c r="P210" s="88">
        <v>0</v>
      </c>
      <c r="Q210" s="89">
        <v>46136</v>
      </c>
      <c r="R210" s="96">
        <v>46164</v>
      </c>
      <c r="S210" s="86" cm="1">
        <f t="array" ref="S210">WORKDAY(R210,10)</f>
        <v>46178</v>
      </c>
      <c r="T210" s="87">
        <v>0</v>
      </c>
      <c r="U210" s="91" t="s">
        <v>105</v>
      </c>
      <c r="V210" s="92">
        <v>0</v>
      </c>
      <c r="W210" s="93" cm="1">
        <f t="array" ref="W210">WORKDAY(X210,-20)</f>
        <v>46217</v>
      </c>
      <c r="X210" s="90">
        <v>46245</v>
      </c>
      <c r="Y210" s="88">
        <v>0</v>
      </c>
      <c r="Z210" s="93">
        <v>46255</v>
      </c>
      <c r="AA210" s="90">
        <v>46297</v>
      </c>
      <c r="AB210" s="88">
        <v>0</v>
      </c>
      <c r="AC210" s="79" t="s">
        <v>49</v>
      </c>
      <c r="AD210" s="79" t="s">
        <v>49</v>
      </c>
      <c r="AE210" s="90"/>
      <c r="AF210" s="88">
        <v>0</v>
      </c>
      <c r="AG210" s="93" cm="1">
        <f t="array" ref="AG210">WORKDAY(AA210,2)</f>
        <v>46301</v>
      </c>
      <c r="AH210" s="90" cm="1">
        <f t="array" ref="AH210">WORKDAY(AG210,1)</f>
        <v>46302</v>
      </c>
      <c r="AI210" s="86" cm="1">
        <f t="array" ref="AI210">WORKDAY(AH210,1)</f>
        <v>46303</v>
      </c>
      <c r="AJ210" s="145"/>
      <c r="AK210" s="56"/>
    </row>
    <row r="211" spans="1:37" ht="25.5" customHeight="1">
      <c r="A211" s="140" cm="1">
        <f t="array" ref="A211">A210+1</f>
        <v>196</v>
      </c>
      <c r="B211" s="79" t="s">
        <v>388</v>
      </c>
      <c r="C211" s="104">
        <v>2</v>
      </c>
      <c r="D211" s="79" t="s">
        <v>382</v>
      </c>
      <c r="E211" s="79" t="s">
        <v>389</v>
      </c>
      <c r="F211" s="79"/>
      <c r="G211" s="80" t="s">
        <v>206</v>
      </c>
      <c r="H211" s="81">
        <v>52359</v>
      </c>
      <c r="I211" s="79" t="s">
        <v>390</v>
      </c>
      <c r="J211" s="98"/>
      <c r="K211" s="100">
        <v>0</v>
      </c>
      <c r="L211" s="105" cm="1">
        <f t="array" ref="L211">WORKDAY(M211,-10)</f>
        <v>46149</v>
      </c>
      <c r="M211" s="85">
        <v>46163</v>
      </c>
      <c r="N211" s="86" cm="1">
        <f t="array" ref="N211">WORKDAY(M211,10)</f>
        <v>46177</v>
      </c>
      <c r="O211" s="87">
        <v>0</v>
      </c>
      <c r="P211" s="88">
        <v>0</v>
      </c>
      <c r="Q211" s="89">
        <v>46136</v>
      </c>
      <c r="R211" s="96">
        <v>46164</v>
      </c>
      <c r="S211" s="86" cm="1">
        <f t="array" ref="S211">WORKDAY(R211,10)</f>
        <v>46178</v>
      </c>
      <c r="T211" s="87">
        <v>0</v>
      </c>
      <c r="U211" s="91" t="s">
        <v>105</v>
      </c>
      <c r="V211" s="92">
        <v>0</v>
      </c>
      <c r="W211" s="93" cm="1">
        <f t="array" ref="W211">WORKDAY(X211,-20)</f>
        <v>46218</v>
      </c>
      <c r="X211" s="90">
        <v>46246</v>
      </c>
      <c r="Y211" s="88">
        <v>0</v>
      </c>
      <c r="Z211" s="93">
        <v>46255</v>
      </c>
      <c r="AA211" s="90">
        <v>46297</v>
      </c>
      <c r="AB211" s="88">
        <v>0</v>
      </c>
      <c r="AC211" s="79" t="s">
        <v>49</v>
      </c>
      <c r="AD211" s="79" t="s">
        <v>49</v>
      </c>
      <c r="AE211" s="90"/>
      <c r="AF211" s="88">
        <v>0</v>
      </c>
      <c r="AG211" s="93" cm="1">
        <f t="array" ref="AG211">WORKDAY(AA211,2)</f>
        <v>46301</v>
      </c>
      <c r="AH211" s="90" cm="1">
        <f t="array" ref="AH211">WORKDAY(AG211,1)</f>
        <v>46302</v>
      </c>
      <c r="AI211" s="86" cm="1">
        <f t="array" ref="AI211">WORKDAY(AH211,1)</f>
        <v>46303</v>
      </c>
      <c r="AJ211" s="145"/>
      <c r="AK211" s="56"/>
    </row>
    <row r="212" spans="1:37" ht="25.5" customHeight="1">
      <c r="A212" s="140" cm="1">
        <f t="array" ref="A212">A211+1</f>
        <v>197</v>
      </c>
      <c r="B212" s="79" t="s">
        <v>1329</v>
      </c>
      <c r="C212" s="104">
        <v>2</v>
      </c>
      <c r="D212" s="79" t="s">
        <v>1330</v>
      </c>
      <c r="E212" s="79" t="s">
        <v>1331</v>
      </c>
      <c r="F212" s="79" t="s">
        <v>78</v>
      </c>
      <c r="G212" s="80" t="s">
        <v>1267</v>
      </c>
      <c r="H212" s="81">
        <v>67516</v>
      </c>
      <c r="I212" s="109"/>
      <c r="J212" s="110">
        <v>92</v>
      </c>
      <c r="K212" s="100">
        <v>0</v>
      </c>
      <c r="L212" s="105" cm="1">
        <f t="array" ref="L212">WORKDAY(M212,-10)</f>
        <v>46133</v>
      </c>
      <c r="M212" s="85">
        <v>46147</v>
      </c>
      <c r="N212" s="86" cm="1">
        <f t="array" ref="N212">WORKDAY(M212,10)</f>
        <v>46161</v>
      </c>
      <c r="O212" s="87">
        <v>0</v>
      </c>
      <c r="P212" s="88">
        <v>0</v>
      </c>
      <c r="Q212" s="89">
        <v>46136</v>
      </c>
      <c r="R212" s="96">
        <v>46164</v>
      </c>
      <c r="S212" s="86" cm="1">
        <f t="array" ref="S212">WORKDAY(R212,10)</f>
        <v>46178</v>
      </c>
      <c r="T212" s="87">
        <v>0</v>
      </c>
      <c r="U212" s="91" t="s">
        <v>105</v>
      </c>
      <c r="V212" s="92">
        <v>0</v>
      </c>
      <c r="W212" s="93" cm="1">
        <f t="array" ref="W212">WORKDAY(X212,-20)</f>
        <v>46212</v>
      </c>
      <c r="X212" s="90">
        <v>46240</v>
      </c>
      <c r="Y212" s="88">
        <v>0</v>
      </c>
      <c r="Z212" s="93">
        <v>46245</v>
      </c>
      <c r="AA212" s="90">
        <v>46297</v>
      </c>
      <c r="AB212" s="88">
        <v>0</v>
      </c>
      <c r="AC212" s="79" t="s">
        <v>49</v>
      </c>
      <c r="AD212" s="79" t="s">
        <v>49</v>
      </c>
      <c r="AE212" s="90"/>
      <c r="AF212" s="88">
        <v>0</v>
      </c>
      <c r="AG212" s="93" cm="1">
        <f t="array" ref="AG212">WORKDAY(AA212,2)</f>
        <v>46301</v>
      </c>
      <c r="AH212" s="90" cm="1">
        <f t="array" ref="AH212">WORKDAY(AG212,1)</f>
        <v>46302</v>
      </c>
      <c r="AI212" s="86" cm="1">
        <f t="array" ref="AI212">WORKDAY(AH212,1)</f>
        <v>46303</v>
      </c>
      <c r="AJ212" s="145"/>
      <c r="AK212" s="56"/>
    </row>
    <row r="213" spans="1:37" ht="25.5" customHeight="1">
      <c r="A213" s="140" cm="1">
        <f t="array" ref="A213">A212+1</f>
        <v>198</v>
      </c>
      <c r="B213" s="79" t="s">
        <v>391</v>
      </c>
      <c r="C213" s="104">
        <v>2</v>
      </c>
      <c r="D213" s="79" t="s">
        <v>392</v>
      </c>
      <c r="E213" s="79" t="s">
        <v>393</v>
      </c>
      <c r="F213" s="79"/>
      <c r="G213" s="80" t="s">
        <v>394</v>
      </c>
      <c r="H213" s="81">
        <v>32373</v>
      </c>
      <c r="I213" s="79" t="s">
        <v>395</v>
      </c>
      <c r="J213" s="98"/>
      <c r="K213" s="100">
        <v>0</v>
      </c>
      <c r="L213" s="105" cm="1">
        <f t="array" ref="L213">WORKDAY(M213,-10)</f>
        <v>46149</v>
      </c>
      <c r="M213" s="85">
        <v>46163</v>
      </c>
      <c r="N213" s="86" cm="1">
        <f t="array" ref="N213">WORKDAY(M213,10)</f>
        <v>46177</v>
      </c>
      <c r="O213" s="87">
        <v>0</v>
      </c>
      <c r="P213" s="88">
        <v>0</v>
      </c>
      <c r="Q213" s="89">
        <v>46136</v>
      </c>
      <c r="R213" s="96">
        <v>46164</v>
      </c>
      <c r="S213" s="86" cm="1">
        <f t="array" ref="S213">WORKDAY(R213,10)</f>
        <v>46178</v>
      </c>
      <c r="T213" s="87">
        <v>0</v>
      </c>
      <c r="U213" s="91" t="s">
        <v>105</v>
      </c>
      <c r="V213" s="92">
        <v>0</v>
      </c>
      <c r="W213" s="93" cm="1">
        <f t="array" ref="W213">WORKDAY(X213,-20)</f>
        <v>46219</v>
      </c>
      <c r="X213" s="80" t="s">
        <v>396</v>
      </c>
      <c r="Y213" s="88">
        <v>0</v>
      </c>
      <c r="Z213" s="93">
        <v>46258</v>
      </c>
      <c r="AA213" s="90">
        <v>46300</v>
      </c>
      <c r="AB213" s="88">
        <v>0</v>
      </c>
      <c r="AC213" s="79" t="s">
        <v>49</v>
      </c>
      <c r="AD213" s="79" t="s">
        <v>49</v>
      </c>
      <c r="AE213" s="90"/>
      <c r="AF213" s="88">
        <v>0</v>
      </c>
      <c r="AG213" s="93" cm="1">
        <f t="array" ref="AG213">WORKDAY(AA213,2)</f>
        <v>46302</v>
      </c>
      <c r="AH213" s="90" cm="1">
        <f t="array" ref="AH213">WORKDAY(AG213,1)</f>
        <v>46303</v>
      </c>
      <c r="AI213" s="86" cm="1">
        <f t="array" ref="AI213">WORKDAY(AH213,1)</f>
        <v>46304</v>
      </c>
      <c r="AJ213" s="145"/>
      <c r="AK213" s="56"/>
    </row>
    <row r="214" spans="1:37" ht="25.5" customHeight="1">
      <c r="A214" s="140" cm="1">
        <f t="array" ref="A214">A213+1</f>
        <v>199</v>
      </c>
      <c r="B214" s="79" t="s">
        <v>397</v>
      </c>
      <c r="C214" s="104">
        <v>2</v>
      </c>
      <c r="D214" s="79" t="s">
        <v>392</v>
      </c>
      <c r="E214" s="79" t="s">
        <v>398</v>
      </c>
      <c r="F214" s="79"/>
      <c r="G214" s="80" t="s">
        <v>394</v>
      </c>
      <c r="H214" s="81">
        <v>32373</v>
      </c>
      <c r="I214" s="79" t="s">
        <v>399</v>
      </c>
      <c r="J214" s="98"/>
      <c r="K214" s="100">
        <v>0</v>
      </c>
      <c r="L214" s="105" cm="1">
        <f t="array" ref="L214">WORKDAY(M214,-10)</f>
        <v>46149</v>
      </c>
      <c r="M214" s="85">
        <v>46163</v>
      </c>
      <c r="N214" s="86" cm="1">
        <f t="array" ref="N214">WORKDAY(M214,10)</f>
        <v>46177</v>
      </c>
      <c r="O214" s="87">
        <v>0</v>
      </c>
      <c r="P214" s="88">
        <v>0</v>
      </c>
      <c r="Q214" s="89">
        <v>46136</v>
      </c>
      <c r="R214" s="96">
        <v>46164</v>
      </c>
      <c r="S214" s="86" cm="1">
        <f t="array" ref="S214">WORKDAY(R214,10)</f>
        <v>46178</v>
      </c>
      <c r="T214" s="87">
        <v>0</v>
      </c>
      <c r="U214" s="91" t="s">
        <v>105</v>
      </c>
      <c r="V214" s="92">
        <v>0</v>
      </c>
      <c r="W214" s="93" cm="1">
        <f t="array" ref="W214">WORKDAY(X214,-20)</f>
        <v>46219</v>
      </c>
      <c r="X214" s="80" t="s">
        <v>396</v>
      </c>
      <c r="Y214" s="88">
        <v>0</v>
      </c>
      <c r="Z214" s="93">
        <v>46258</v>
      </c>
      <c r="AA214" s="90">
        <v>46300</v>
      </c>
      <c r="AB214" s="88">
        <v>0</v>
      </c>
      <c r="AC214" s="79" t="s">
        <v>49</v>
      </c>
      <c r="AD214" s="79" t="s">
        <v>49</v>
      </c>
      <c r="AE214" s="90"/>
      <c r="AF214" s="88">
        <v>0</v>
      </c>
      <c r="AG214" s="93" cm="1">
        <f t="array" ref="AG214">WORKDAY(AA214,2)</f>
        <v>46302</v>
      </c>
      <c r="AH214" s="90" cm="1">
        <f t="array" ref="AH214">WORKDAY(AG214,1)</f>
        <v>46303</v>
      </c>
      <c r="AI214" s="86" cm="1">
        <f t="array" ref="AI214">WORKDAY(AH214,1)</f>
        <v>46304</v>
      </c>
      <c r="AJ214" s="145"/>
      <c r="AK214" s="56"/>
    </row>
    <row r="215" spans="1:37" ht="25.5" customHeight="1">
      <c r="A215" s="140" cm="1">
        <f t="array" ref="A215">A214+1</f>
        <v>200</v>
      </c>
      <c r="B215" s="79" t="s">
        <v>1332</v>
      </c>
      <c r="C215" s="104">
        <v>2</v>
      </c>
      <c r="D215" s="79" t="s">
        <v>1333</v>
      </c>
      <c r="E215" s="79" t="s">
        <v>1334</v>
      </c>
      <c r="F215" s="79" t="s">
        <v>78</v>
      </c>
      <c r="G215" s="80" t="s">
        <v>1267</v>
      </c>
      <c r="H215" s="81">
        <v>67516</v>
      </c>
      <c r="I215" s="109"/>
      <c r="J215" s="110">
        <v>93</v>
      </c>
      <c r="K215" s="100">
        <v>0</v>
      </c>
      <c r="L215" s="105" cm="1">
        <f t="array" ref="L215">WORKDAY(M215,-10)</f>
        <v>46133</v>
      </c>
      <c r="M215" s="85">
        <v>46147</v>
      </c>
      <c r="N215" s="86" cm="1">
        <f t="array" ref="N215">WORKDAY(M215,10)</f>
        <v>46161</v>
      </c>
      <c r="O215" s="87">
        <v>0</v>
      </c>
      <c r="P215" s="88">
        <v>0</v>
      </c>
      <c r="Q215" s="89">
        <v>46136</v>
      </c>
      <c r="R215" s="96">
        <v>46164</v>
      </c>
      <c r="S215" s="86" cm="1">
        <f t="array" ref="S215">WORKDAY(R215,10)</f>
        <v>46178</v>
      </c>
      <c r="T215" s="87">
        <v>0</v>
      </c>
      <c r="U215" s="91" t="s">
        <v>105</v>
      </c>
      <c r="V215" s="92">
        <v>0</v>
      </c>
      <c r="W215" s="93" cm="1">
        <f t="array" ref="W215">WORKDAY(X215,-20)</f>
        <v>46213</v>
      </c>
      <c r="X215" s="90">
        <v>46241</v>
      </c>
      <c r="Y215" s="88">
        <v>0</v>
      </c>
      <c r="Z215" s="93">
        <v>46246</v>
      </c>
      <c r="AA215" s="90">
        <v>46300</v>
      </c>
      <c r="AB215" s="88">
        <v>0</v>
      </c>
      <c r="AC215" s="79" t="s">
        <v>49</v>
      </c>
      <c r="AD215" s="79" t="s">
        <v>49</v>
      </c>
      <c r="AE215" s="90"/>
      <c r="AF215" s="88">
        <v>0</v>
      </c>
      <c r="AG215" s="93" cm="1">
        <f t="array" ref="AG215">WORKDAY(AA215,2)</f>
        <v>46302</v>
      </c>
      <c r="AH215" s="90" cm="1">
        <f t="array" ref="AH215">WORKDAY(AG215,1)</f>
        <v>46303</v>
      </c>
      <c r="AI215" s="86" cm="1">
        <f t="array" ref="AI215">WORKDAY(AH215,1)</f>
        <v>46304</v>
      </c>
      <c r="AJ215" s="145"/>
      <c r="AK215" s="56"/>
    </row>
    <row r="216" spans="1:37" ht="25.5" customHeight="1">
      <c r="A216" s="140" cm="1">
        <f t="array" ref="A216">A215+1</f>
        <v>201</v>
      </c>
      <c r="B216" s="79" t="s">
        <v>400</v>
      </c>
      <c r="C216" s="104">
        <v>2</v>
      </c>
      <c r="D216" s="79" t="s">
        <v>392</v>
      </c>
      <c r="E216" s="79" t="s">
        <v>401</v>
      </c>
      <c r="F216" s="79"/>
      <c r="G216" s="80" t="s">
        <v>394</v>
      </c>
      <c r="H216" s="81">
        <v>32373</v>
      </c>
      <c r="I216" s="79" t="s">
        <v>402</v>
      </c>
      <c r="J216" s="98"/>
      <c r="K216" s="100">
        <v>0</v>
      </c>
      <c r="L216" s="105" cm="1">
        <f t="array" ref="L216">WORKDAY(M216,-10)</f>
        <v>46149</v>
      </c>
      <c r="M216" s="85">
        <v>46163</v>
      </c>
      <c r="N216" s="86" cm="1">
        <f t="array" ref="N216">WORKDAY(M216,10)</f>
        <v>46177</v>
      </c>
      <c r="O216" s="87">
        <v>0</v>
      </c>
      <c r="P216" s="88">
        <v>0</v>
      </c>
      <c r="Q216" s="89">
        <v>46136</v>
      </c>
      <c r="R216" s="96">
        <v>46164</v>
      </c>
      <c r="S216" s="86" cm="1">
        <f t="array" ref="S216">WORKDAY(R216,10)</f>
        <v>46178</v>
      </c>
      <c r="T216" s="87">
        <v>0</v>
      </c>
      <c r="U216" s="91" t="s">
        <v>105</v>
      </c>
      <c r="V216" s="92">
        <v>0</v>
      </c>
      <c r="W216" s="93" cm="1">
        <f t="array" ref="W216">WORKDAY(X216,-20)</f>
        <v>46220</v>
      </c>
      <c r="X216" s="80" t="s">
        <v>403</v>
      </c>
      <c r="Y216" s="88">
        <v>0</v>
      </c>
      <c r="Z216" s="93">
        <v>46259</v>
      </c>
      <c r="AA216" s="90">
        <v>46301</v>
      </c>
      <c r="AB216" s="88">
        <v>0</v>
      </c>
      <c r="AC216" s="79" t="s">
        <v>49</v>
      </c>
      <c r="AD216" s="79" t="s">
        <v>49</v>
      </c>
      <c r="AE216" s="90"/>
      <c r="AF216" s="88">
        <v>0</v>
      </c>
      <c r="AG216" s="93" cm="1">
        <f t="array" ref="AG216">WORKDAY(AA216,2)</f>
        <v>46303</v>
      </c>
      <c r="AH216" s="90" cm="1">
        <f t="array" ref="AH216">WORKDAY(AG216,1)</f>
        <v>46304</v>
      </c>
      <c r="AI216" s="86" cm="1">
        <f t="array" ref="AI216">WORKDAY(AH216,1)</f>
        <v>46307</v>
      </c>
      <c r="AJ216" s="145"/>
      <c r="AK216" s="56"/>
    </row>
    <row r="217" spans="1:37" ht="25.5" customHeight="1">
      <c r="A217" s="140" cm="1">
        <f t="array" ref="A217">A216+1</f>
        <v>202</v>
      </c>
      <c r="B217" s="79" t="s">
        <v>404</v>
      </c>
      <c r="C217" s="104">
        <v>2</v>
      </c>
      <c r="D217" s="79" t="s">
        <v>392</v>
      </c>
      <c r="E217" s="79" t="s">
        <v>405</v>
      </c>
      <c r="F217" s="79"/>
      <c r="G217" s="80" t="s">
        <v>394</v>
      </c>
      <c r="H217" s="81">
        <v>32373</v>
      </c>
      <c r="I217" s="79" t="s">
        <v>406</v>
      </c>
      <c r="J217" s="98"/>
      <c r="K217" s="100">
        <v>0</v>
      </c>
      <c r="L217" s="105" cm="1">
        <f t="array" ref="L217">WORKDAY(M217,-10)</f>
        <v>46149</v>
      </c>
      <c r="M217" s="85">
        <v>46163</v>
      </c>
      <c r="N217" s="86" cm="1">
        <f t="array" ref="N217">WORKDAY(M217,10)</f>
        <v>46177</v>
      </c>
      <c r="O217" s="87">
        <v>0</v>
      </c>
      <c r="P217" s="88">
        <v>0</v>
      </c>
      <c r="Q217" s="89">
        <v>46136</v>
      </c>
      <c r="R217" s="96">
        <v>46164</v>
      </c>
      <c r="S217" s="86" cm="1">
        <f t="array" ref="S217">WORKDAY(R217,10)</f>
        <v>46178</v>
      </c>
      <c r="T217" s="87">
        <v>0</v>
      </c>
      <c r="U217" s="91" t="s">
        <v>105</v>
      </c>
      <c r="V217" s="92">
        <v>0</v>
      </c>
      <c r="W217" s="93" cm="1">
        <f t="array" ref="W217">WORKDAY(X217,-20)</f>
        <v>46223</v>
      </c>
      <c r="X217" s="80" t="s">
        <v>407</v>
      </c>
      <c r="Y217" s="88">
        <v>0</v>
      </c>
      <c r="Z217" s="93">
        <v>46259</v>
      </c>
      <c r="AA217" s="90">
        <v>46301</v>
      </c>
      <c r="AB217" s="88">
        <v>0</v>
      </c>
      <c r="AC217" s="79" t="s">
        <v>49</v>
      </c>
      <c r="AD217" s="79" t="s">
        <v>49</v>
      </c>
      <c r="AE217" s="90"/>
      <c r="AF217" s="88">
        <v>0</v>
      </c>
      <c r="AG217" s="93" cm="1">
        <f t="array" ref="AG217">WORKDAY(AA217,2)</f>
        <v>46303</v>
      </c>
      <c r="AH217" s="90" cm="1">
        <f t="array" ref="AH217">WORKDAY(AG217,1)</f>
        <v>46304</v>
      </c>
      <c r="AI217" s="86" cm="1">
        <f t="array" ref="AI217">WORKDAY(AH217,1)</f>
        <v>46307</v>
      </c>
      <c r="AJ217" s="145"/>
      <c r="AK217" s="56"/>
    </row>
    <row r="218" spans="1:37" ht="25.5" customHeight="1">
      <c r="A218" s="140" cm="1">
        <f t="array" ref="A218">A217+1</f>
        <v>203</v>
      </c>
      <c r="B218" s="79" t="s">
        <v>1335</v>
      </c>
      <c r="C218" s="104">
        <v>2</v>
      </c>
      <c r="D218" s="79" t="s">
        <v>1333</v>
      </c>
      <c r="E218" s="79" t="s">
        <v>1336</v>
      </c>
      <c r="F218" s="79" t="s">
        <v>78</v>
      </c>
      <c r="G218" s="80" t="s">
        <v>1267</v>
      </c>
      <c r="H218" s="81">
        <v>67516</v>
      </c>
      <c r="I218" s="109"/>
      <c r="J218" s="110">
        <v>94</v>
      </c>
      <c r="K218" s="100">
        <v>0</v>
      </c>
      <c r="L218" s="105" cm="1">
        <f t="array" ref="L218">WORKDAY(M218,-10)</f>
        <v>46133</v>
      </c>
      <c r="M218" s="85">
        <v>46147</v>
      </c>
      <c r="N218" s="86" cm="1">
        <f t="array" ref="N218">WORKDAY(M218,10)</f>
        <v>46161</v>
      </c>
      <c r="O218" s="87">
        <v>0</v>
      </c>
      <c r="P218" s="88">
        <v>0</v>
      </c>
      <c r="Q218" s="89">
        <v>46136</v>
      </c>
      <c r="R218" s="96">
        <v>46164</v>
      </c>
      <c r="S218" s="86" cm="1">
        <f t="array" ref="S218">WORKDAY(R218,10)</f>
        <v>46178</v>
      </c>
      <c r="T218" s="87">
        <v>0</v>
      </c>
      <c r="U218" s="91" t="s">
        <v>105</v>
      </c>
      <c r="V218" s="92">
        <v>0</v>
      </c>
      <c r="W218" s="93" cm="1">
        <f t="array" ref="W218">WORKDAY(X218,-20)</f>
        <v>46216</v>
      </c>
      <c r="X218" s="90">
        <v>46244</v>
      </c>
      <c r="Y218" s="88">
        <v>0</v>
      </c>
      <c r="Z218" s="93">
        <v>46247</v>
      </c>
      <c r="AA218" s="90">
        <v>46301</v>
      </c>
      <c r="AB218" s="88">
        <v>0</v>
      </c>
      <c r="AC218" s="79" t="s">
        <v>49</v>
      </c>
      <c r="AD218" s="79" t="s">
        <v>49</v>
      </c>
      <c r="AE218" s="90"/>
      <c r="AF218" s="88">
        <v>0</v>
      </c>
      <c r="AG218" s="93" cm="1">
        <f t="array" ref="AG218">WORKDAY(AA218,2)</f>
        <v>46303</v>
      </c>
      <c r="AH218" s="90" cm="1">
        <f t="array" ref="AH218">WORKDAY(AG218,1)</f>
        <v>46304</v>
      </c>
      <c r="AI218" s="86" cm="1">
        <f t="array" ref="AI218">WORKDAY(AH218,1)</f>
        <v>46307</v>
      </c>
      <c r="AJ218" s="145"/>
      <c r="AK218" s="56"/>
    </row>
    <row r="219" spans="1:37" ht="25.5" customHeight="1">
      <c r="A219" s="140" cm="1">
        <f t="array" ref="A219">A218+1</f>
        <v>204</v>
      </c>
      <c r="B219" s="79" t="s">
        <v>408</v>
      </c>
      <c r="C219" s="104">
        <v>2</v>
      </c>
      <c r="D219" s="79" t="s">
        <v>392</v>
      </c>
      <c r="E219" s="79" t="s">
        <v>409</v>
      </c>
      <c r="F219" s="79"/>
      <c r="G219" s="80" t="s">
        <v>394</v>
      </c>
      <c r="H219" s="81">
        <v>32373</v>
      </c>
      <c r="I219" s="79" t="s">
        <v>410</v>
      </c>
      <c r="J219" s="98"/>
      <c r="K219" s="100">
        <v>0</v>
      </c>
      <c r="L219" s="105" cm="1">
        <f t="array" ref="L219">WORKDAY(M219,-10)</f>
        <v>46149</v>
      </c>
      <c r="M219" s="85">
        <v>46163</v>
      </c>
      <c r="N219" s="86" cm="1">
        <f t="array" ref="N219">WORKDAY(M219,10)</f>
        <v>46177</v>
      </c>
      <c r="O219" s="87">
        <v>0</v>
      </c>
      <c r="P219" s="88">
        <v>0</v>
      </c>
      <c r="Q219" s="89">
        <v>46136</v>
      </c>
      <c r="R219" s="96">
        <v>46164</v>
      </c>
      <c r="S219" s="86" cm="1">
        <f t="array" ref="S219">WORKDAY(R219,10)</f>
        <v>46178</v>
      </c>
      <c r="T219" s="87">
        <v>0</v>
      </c>
      <c r="U219" s="91" t="s">
        <v>105</v>
      </c>
      <c r="V219" s="92">
        <v>0</v>
      </c>
      <c r="W219" s="93" cm="1">
        <f t="array" ref="W219">WORKDAY(X219,-20)</f>
        <v>46223</v>
      </c>
      <c r="X219" s="80" t="s">
        <v>407</v>
      </c>
      <c r="Y219" s="88">
        <v>0</v>
      </c>
      <c r="Z219" s="93">
        <v>46260</v>
      </c>
      <c r="AA219" s="90">
        <v>46302</v>
      </c>
      <c r="AB219" s="88">
        <v>0</v>
      </c>
      <c r="AC219" s="79" t="s">
        <v>49</v>
      </c>
      <c r="AD219" s="79" t="s">
        <v>49</v>
      </c>
      <c r="AE219" s="90"/>
      <c r="AF219" s="88">
        <v>0</v>
      </c>
      <c r="AG219" s="93" cm="1">
        <f t="array" ref="AG219">WORKDAY(AA219,2)</f>
        <v>46304</v>
      </c>
      <c r="AH219" s="90" cm="1">
        <f t="array" ref="AH219">WORKDAY(AG219,1)</f>
        <v>46307</v>
      </c>
      <c r="AI219" s="86" cm="1">
        <f t="array" ref="AI219">WORKDAY(AH219,1)</f>
        <v>46308</v>
      </c>
      <c r="AJ219" s="145"/>
      <c r="AK219" s="56"/>
    </row>
    <row r="220" spans="1:37" ht="25.5" customHeight="1">
      <c r="A220" s="140" cm="1">
        <f t="array" ref="A220">A219+1</f>
        <v>205</v>
      </c>
      <c r="B220" s="79" t="s">
        <v>411</v>
      </c>
      <c r="C220" s="104">
        <v>2</v>
      </c>
      <c r="D220" s="79" t="s">
        <v>392</v>
      </c>
      <c r="E220" s="79" t="s">
        <v>412</v>
      </c>
      <c r="F220" s="79"/>
      <c r="G220" s="80" t="s">
        <v>394</v>
      </c>
      <c r="H220" s="81">
        <v>32373</v>
      </c>
      <c r="I220" s="79" t="s">
        <v>413</v>
      </c>
      <c r="J220" s="98"/>
      <c r="K220" s="100">
        <v>0</v>
      </c>
      <c r="L220" s="105" cm="1">
        <f t="array" ref="L220">WORKDAY(M220,-10)</f>
        <v>46149</v>
      </c>
      <c r="M220" s="85">
        <v>46163</v>
      </c>
      <c r="N220" s="86" cm="1">
        <f t="array" ref="N220">WORKDAY(M220,10)</f>
        <v>46177</v>
      </c>
      <c r="O220" s="87">
        <v>0</v>
      </c>
      <c r="P220" s="88">
        <v>0</v>
      </c>
      <c r="Q220" s="89">
        <v>46136</v>
      </c>
      <c r="R220" s="96">
        <v>46164</v>
      </c>
      <c r="S220" s="86" cm="1">
        <f t="array" ref="S220">WORKDAY(R220,10)</f>
        <v>46178</v>
      </c>
      <c r="T220" s="87">
        <v>0</v>
      </c>
      <c r="U220" s="91" t="s">
        <v>105</v>
      </c>
      <c r="V220" s="92">
        <v>0</v>
      </c>
      <c r="W220" s="93" cm="1">
        <f t="array" ref="W220">WORKDAY(X220,-20)</f>
        <v>46224</v>
      </c>
      <c r="X220" s="80" t="s">
        <v>414</v>
      </c>
      <c r="Y220" s="88">
        <v>0</v>
      </c>
      <c r="Z220" s="93">
        <v>46260</v>
      </c>
      <c r="AA220" s="90">
        <v>46302</v>
      </c>
      <c r="AB220" s="88">
        <v>0</v>
      </c>
      <c r="AC220" s="79" t="s">
        <v>49</v>
      </c>
      <c r="AD220" s="79" t="s">
        <v>49</v>
      </c>
      <c r="AE220" s="90"/>
      <c r="AF220" s="88">
        <v>0</v>
      </c>
      <c r="AG220" s="93" cm="1">
        <f t="array" ref="AG220">WORKDAY(AA220,2)</f>
        <v>46304</v>
      </c>
      <c r="AH220" s="90" cm="1">
        <f t="array" ref="AH220">WORKDAY(AG220,1)</f>
        <v>46307</v>
      </c>
      <c r="AI220" s="86" cm="1">
        <f t="array" ref="AI220">WORKDAY(AH220,1)</f>
        <v>46308</v>
      </c>
      <c r="AJ220" s="145"/>
      <c r="AK220" s="56"/>
    </row>
    <row r="221" spans="1:37" ht="25.5" customHeight="1">
      <c r="A221" s="140" cm="1">
        <f t="array" ref="A221">A220+1</f>
        <v>206</v>
      </c>
      <c r="B221" s="79" t="s">
        <v>1337</v>
      </c>
      <c r="C221" s="104">
        <v>2</v>
      </c>
      <c r="D221" s="79" t="s">
        <v>1333</v>
      </c>
      <c r="E221" s="79" t="s">
        <v>1338</v>
      </c>
      <c r="F221" s="79" t="s">
        <v>78</v>
      </c>
      <c r="G221" s="80" t="s">
        <v>1267</v>
      </c>
      <c r="H221" s="81">
        <v>67516</v>
      </c>
      <c r="I221" s="109"/>
      <c r="J221" s="110">
        <v>95</v>
      </c>
      <c r="K221" s="100">
        <v>0</v>
      </c>
      <c r="L221" s="105" cm="1">
        <f t="array" ref="L221">WORKDAY(M221,-10)</f>
        <v>46133</v>
      </c>
      <c r="M221" s="85">
        <v>46147</v>
      </c>
      <c r="N221" s="86" cm="1">
        <f t="array" ref="N221">WORKDAY(M221,10)</f>
        <v>46161</v>
      </c>
      <c r="O221" s="87">
        <v>0</v>
      </c>
      <c r="P221" s="88">
        <v>0</v>
      </c>
      <c r="Q221" s="89">
        <v>46136</v>
      </c>
      <c r="R221" s="96">
        <v>46164</v>
      </c>
      <c r="S221" s="86" cm="1">
        <f t="array" ref="S221">WORKDAY(R221,10)</f>
        <v>46178</v>
      </c>
      <c r="T221" s="87">
        <v>0</v>
      </c>
      <c r="U221" s="91" t="s">
        <v>105</v>
      </c>
      <c r="V221" s="92">
        <v>0</v>
      </c>
      <c r="W221" s="93" cm="1">
        <f t="array" ref="W221">WORKDAY(X221,-20)</f>
        <v>46216</v>
      </c>
      <c r="X221" s="90">
        <v>46244</v>
      </c>
      <c r="Y221" s="88">
        <v>0</v>
      </c>
      <c r="Z221" s="93">
        <v>46247</v>
      </c>
      <c r="AA221" s="90">
        <v>46302</v>
      </c>
      <c r="AB221" s="88">
        <v>0</v>
      </c>
      <c r="AC221" s="79" t="s">
        <v>49</v>
      </c>
      <c r="AD221" s="79" t="s">
        <v>49</v>
      </c>
      <c r="AE221" s="90"/>
      <c r="AF221" s="88">
        <v>0</v>
      </c>
      <c r="AG221" s="93" cm="1">
        <f t="array" ref="AG221">WORKDAY(AA221,2)</f>
        <v>46304</v>
      </c>
      <c r="AH221" s="90" cm="1">
        <f t="array" ref="AH221">WORKDAY(AG221,1)</f>
        <v>46307</v>
      </c>
      <c r="AI221" s="86" cm="1">
        <f t="array" ref="AI221">WORKDAY(AH221,1)</f>
        <v>46308</v>
      </c>
      <c r="AJ221" s="145"/>
      <c r="AK221" s="56"/>
    </row>
    <row r="222" spans="1:37" ht="25.5" customHeight="1">
      <c r="A222" s="140" cm="1">
        <f t="array" ref="A222">A221+1</f>
        <v>207</v>
      </c>
      <c r="B222" s="79" t="s">
        <v>415</v>
      </c>
      <c r="C222" s="104">
        <v>2</v>
      </c>
      <c r="D222" s="79" t="s">
        <v>416</v>
      </c>
      <c r="E222" s="79" t="s">
        <v>417</v>
      </c>
      <c r="F222" s="79"/>
      <c r="G222" s="80" t="s">
        <v>394</v>
      </c>
      <c r="H222" s="81">
        <v>32373</v>
      </c>
      <c r="I222" s="79" t="s">
        <v>418</v>
      </c>
      <c r="J222" s="98"/>
      <c r="K222" s="100">
        <v>0</v>
      </c>
      <c r="L222" s="105" cm="1">
        <f t="array" ref="L222">WORKDAY(M222,-10)</f>
        <v>46149</v>
      </c>
      <c r="M222" s="85">
        <v>46163</v>
      </c>
      <c r="N222" s="86" cm="1">
        <f t="array" ref="N222">WORKDAY(M222,10)</f>
        <v>46177</v>
      </c>
      <c r="O222" s="87">
        <v>0</v>
      </c>
      <c r="P222" s="88">
        <v>0</v>
      </c>
      <c r="Q222" s="89">
        <v>46136</v>
      </c>
      <c r="R222" s="96">
        <v>46164</v>
      </c>
      <c r="S222" s="86" cm="1">
        <f t="array" ref="S222">WORKDAY(R222,10)</f>
        <v>46178</v>
      </c>
      <c r="T222" s="87">
        <v>0</v>
      </c>
      <c r="U222" s="91" t="s">
        <v>105</v>
      </c>
      <c r="V222" s="92">
        <v>0</v>
      </c>
      <c r="W222" s="93" cm="1">
        <f t="array" ref="W222">WORKDAY(X222,-20)</f>
        <v>46225</v>
      </c>
      <c r="X222" s="90">
        <v>46253</v>
      </c>
      <c r="Y222" s="88">
        <v>0</v>
      </c>
      <c r="Z222" s="93">
        <v>46261</v>
      </c>
      <c r="AA222" s="90">
        <v>46303</v>
      </c>
      <c r="AB222" s="88">
        <v>0</v>
      </c>
      <c r="AC222" s="79" t="s">
        <v>49</v>
      </c>
      <c r="AD222" s="79" t="s">
        <v>49</v>
      </c>
      <c r="AE222" s="90"/>
      <c r="AF222" s="88">
        <v>0</v>
      </c>
      <c r="AG222" s="93" cm="1">
        <f t="array" ref="AG222">WORKDAY(AA222,2)</f>
        <v>46307</v>
      </c>
      <c r="AH222" s="90" cm="1">
        <f t="array" ref="AH222">WORKDAY(AG222,1)</f>
        <v>46308</v>
      </c>
      <c r="AI222" s="86" cm="1">
        <f t="array" ref="AI222">WORKDAY(AH222,1)</f>
        <v>46309</v>
      </c>
      <c r="AJ222" s="145"/>
      <c r="AK222" s="56"/>
    </row>
    <row r="223" spans="1:37" ht="25.5" customHeight="1">
      <c r="A223" s="140" cm="1">
        <f t="array" ref="A223">A222+1</f>
        <v>208</v>
      </c>
      <c r="B223" s="79" t="s">
        <v>419</v>
      </c>
      <c r="C223" s="104">
        <v>2</v>
      </c>
      <c r="D223" s="79" t="s">
        <v>416</v>
      </c>
      <c r="E223" s="79" t="s">
        <v>420</v>
      </c>
      <c r="F223" s="79"/>
      <c r="G223" s="80" t="s">
        <v>394</v>
      </c>
      <c r="H223" s="81">
        <v>32373</v>
      </c>
      <c r="I223" s="79" t="s">
        <v>421</v>
      </c>
      <c r="J223" s="98"/>
      <c r="K223" s="100">
        <v>0</v>
      </c>
      <c r="L223" s="105" cm="1">
        <f t="array" ref="L223">WORKDAY(M223,-10)</f>
        <v>46149</v>
      </c>
      <c r="M223" s="85">
        <v>46163</v>
      </c>
      <c r="N223" s="86" cm="1">
        <f t="array" ref="N223">WORKDAY(M223,10)</f>
        <v>46177</v>
      </c>
      <c r="O223" s="87">
        <v>0</v>
      </c>
      <c r="P223" s="88">
        <v>0</v>
      </c>
      <c r="Q223" s="89">
        <v>46136</v>
      </c>
      <c r="R223" s="96">
        <v>46164</v>
      </c>
      <c r="S223" s="86" cm="1">
        <f t="array" ref="S223">WORKDAY(R223,10)</f>
        <v>46178</v>
      </c>
      <c r="T223" s="87">
        <v>0</v>
      </c>
      <c r="U223" s="91" t="s">
        <v>105</v>
      </c>
      <c r="V223" s="92">
        <v>0</v>
      </c>
      <c r="W223" s="93" cm="1">
        <f t="array" ref="W223">WORKDAY(X223,-20)</f>
        <v>46225</v>
      </c>
      <c r="X223" s="90">
        <v>46253</v>
      </c>
      <c r="Y223" s="88">
        <v>0</v>
      </c>
      <c r="Z223" s="93">
        <v>46261</v>
      </c>
      <c r="AA223" s="90">
        <v>46303</v>
      </c>
      <c r="AB223" s="88">
        <v>0</v>
      </c>
      <c r="AC223" s="79" t="s">
        <v>49</v>
      </c>
      <c r="AD223" s="79" t="s">
        <v>49</v>
      </c>
      <c r="AE223" s="90"/>
      <c r="AF223" s="88">
        <v>0</v>
      </c>
      <c r="AG223" s="93" cm="1">
        <f t="array" ref="AG223">WORKDAY(AA223,2)</f>
        <v>46307</v>
      </c>
      <c r="AH223" s="90" cm="1">
        <f t="array" ref="AH223">WORKDAY(AG223,1)</f>
        <v>46308</v>
      </c>
      <c r="AI223" s="86" cm="1">
        <f t="array" ref="AI223">WORKDAY(AH223,1)</f>
        <v>46309</v>
      </c>
      <c r="AJ223" s="145"/>
      <c r="AK223" s="56"/>
    </row>
    <row r="224" spans="1:37" ht="25.5" customHeight="1">
      <c r="A224" s="140" cm="1">
        <f t="array" ref="A224">A223+1</f>
        <v>209</v>
      </c>
      <c r="B224" s="79" t="s">
        <v>1339</v>
      </c>
      <c r="C224" s="104">
        <v>2</v>
      </c>
      <c r="D224" s="79" t="s">
        <v>1333</v>
      </c>
      <c r="E224" s="79" t="s">
        <v>1340</v>
      </c>
      <c r="F224" s="79" t="s">
        <v>78</v>
      </c>
      <c r="G224" s="80" t="s">
        <v>1267</v>
      </c>
      <c r="H224" s="81">
        <v>67516</v>
      </c>
      <c r="I224" s="109"/>
      <c r="J224" s="110">
        <v>96</v>
      </c>
      <c r="K224" s="100">
        <v>0</v>
      </c>
      <c r="L224" s="105" cm="1">
        <f t="array" ref="L224">WORKDAY(M224,-10)</f>
        <v>46133</v>
      </c>
      <c r="M224" s="85">
        <v>46147</v>
      </c>
      <c r="N224" s="86" cm="1">
        <f t="array" ref="N224">WORKDAY(M224,10)</f>
        <v>46161</v>
      </c>
      <c r="O224" s="87">
        <v>0</v>
      </c>
      <c r="P224" s="88">
        <v>0</v>
      </c>
      <c r="Q224" s="89">
        <v>46136</v>
      </c>
      <c r="R224" s="96">
        <v>46164</v>
      </c>
      <c r="S224" s="86" cm="1">
        <f t="array" ref="S224">WORKDAY(R224,10)</f>
        <v>46178</v>
      </c>
      <c r="T224" s="87">
        <v>0</v>
      </c>
      <c r="U224" s="91" t="s">
        <v>105</v>
      </c>
      <c r="V224" s="92">
        <v>0</v>
      </c>
      <c r="W224" s="93" cm="1">
        <f t="array" ref="W224">WORKDAY(X224,-20)</f>
        <v>46217</v>
      </c>
      <c r="X224" s="90">
        <v>46245</v>
      </c>
      <c r="Y224" s="88">
        <v>0</v>
      </c>
      <c r="Z224" s="93">
        <v>46248</v>
      </c>
      <c r="AA224" s="90">
        <v>46303</v>
      </c>
      <c r="AB224" s="88">
        <v>0</v>
      </c>
      <c r="AC224" s="79" t="s">
        <v>49</v>
      </c>
      <c r="AD224" s="79" t="s">
        <v>49</v>
      </c>
      <c r="AE224" s="90"/>
      <c r="AF224" s="88">
        <v>0</v>
      </c>
      <c r="AG224" s="93" cm="1">
        <f t="array" ref="AG224">WORKDAY(AA224,2)</f>
        <v>46307</v>
      </c>
      <c r="AH224" s="90" cm="1">
        <f t="array" ref="AH224">WORKDAY(AG224,1)</f>
        <v>46308</v>
      </c>
      <c r="AI224" s="86" cm="1">
        <f t="array" ref="AI224">WORKDAY(AH224,1)</f>
        <v>46309</v>
      </c>
      <c r="AJ224" s="145"/>
      <c r="AK224" s="56"/>
    </row>
    <row r="225" spans="1:37" ht="25.5" customHeight="1">
      <c r="A225" s="140" cm="1">
        <f t="array" ref="A225">A224+1</f>
        <v>210</v>
      </c>
      <c r="B225" s="79" t="s">
        <v>422</v>
      </c>
      <c r="C225" s="104">
        <v>2</v>
      </c>
      <c r="D225" s="79" t="s">
        <v>416</v>
      </c>
      <c r="E225" s="79" t="s">
        <v>423</v>
      </c>
      <c r="F225" s="79"/>
      <c r="G225" s="80" t="s">
        <v>394</v>
      </c>
      <c r="H225" s="81">
        <v>32373</v>
      </c>
      <c r="I225" s="79" t="s">
        <v>424</v>
      </c>
      <c r="J225" s="98"/>
      <c r="K225" s="100">
        <v>0</v>
      </c>
      <c r="L225" s="105" cm="1">
        <f t="array" ref="L225">WORKDAY(M225,-10)</f>
        <v>46149</v>
      </c>
      <c r="M225" s="85">
        <v>46163</v>
      </c>
      <c r="N225" s="86" cm="1">
        <f t="array" ref="N225">WORKDAY(M225,10)</f>
        <v>46177</v>
      </c>
      <c r="O225" s="87">
        <v>0</v>
      </c>
      <c r="P225" s="88">
        <v>0</v>
      </c>
      <c r="Q225" s="89">
        <v>46136</v>
      </c>
      <c r="R225" s="96">
        <v>46164</v>
      </c>
      <c r="S225" s="86" cm="1">
        <f t="array" ref="S225">WORKDAY(R225,10)</f>
        <v>46178</v>
      </c>
      <c r="T225" s="87">
        <v>0</v>
      </c>
      <c r="U225" s="91" t="s">
        <v>105</v>
      </c>
      <c r="V225" s="92">
        <v>0</v>
      </c>
      <c r="W225" s="93" cm="1">
        <f t="array" ref="W225">WORKDAY(X225,-20)</f>
        <v>46226</v>
      </c>
      <c r="X225" s="90">
        <v>46254</v>
      </c>
      <c r="Y225" s="88">
        <v>0</v>
      </c>
      <c r="Z225" s="93">
        <v>46262</v>
      </c>
      <c r="AA225" s="90">
        <v>46304</v>
      </c>
      <c r="AB225" s="88">
        <v>0</v>
      </c>
      <c r="AC225" s="79" t="s">
        <v>49</v>
      </c>
      <c r="AD225" s="79" t="s">
        <v>49</v>
      </c>
      <c r="AE225" s="90"/>
      <c r="AF225" s="88">
        <v>0</v>
      </c>
      <c r="AG225" s="93" cm="1">
        <f t="array" ref="AG225">WORKDAY(AA225,2)</f>
        <v>46308</v>
      </c>
      <c r="AH225" s="90" cm="1">
        <f t="array" ref="AH225">WORKDAY(AG225,1)</f>
        <v>46309</v>
      </c>
      <c r="AI225" s="86" cm="1">
        <f t="array" ref="AI225">WORKDAY(AH225,1)</f>
        <v>46310</v>
      </c>
      <c r="AJ225" s="145"/>
      <c r="AK225" s="56"/>
    </row>
    <row r="226" spans="1:37" ht="25.5" customHeight="1">
      <c r="A226" s="140" cm="1">
        <f t="array" ref="A226">A225+1</f>
        <v>211</v>
      </c>
      <c r="B226" s="79" t="s">
        <v>425</v>
      </c>
      <c r="C226" s="104">
        <v>2</v>
      </c>
      <c r="D226" s="79" t="s">
        <v>426</v>
      </c>
      <c r="E226" s="79" t="s">
        <v>427</v>
      </c>
      <c r="F226" s="79"/>
      <c r="G226" s="80" t="s">
        <v>394</v>
      </c>
      <c r="H226" s="81">
        <v>43429</v>
      </c>
      <c r="I226" s="79" t="s">
        <v>428</v>
      </c>
      <c r="J226" s="98"/>
      <c r="K226" s="100">
        <v>0</v>
      </c>
      <c r="L226" s="105" cm="1">
        <f t="array" ref="L226">WORKDAY(M226,-10)</f>
        <v>46149</v>
      </c>
      <c r="M226" s="85">
        <v>46163</v>
      </c>
      <c r="N226" s="86" cm="1">
        <f t="array" ref="N226">WORKDAY(M226,10)</f>
        <v>46177</v>
      </c>
      <c r="O226" s="87">
        <v>0</v>
      </c>
      <c r="P226" s="88">
        <v>0</v>
      </c>
      <c r="Q226" s="89">
        <v>46136</v>
      </c>
      <c r="R226" s="96">
        <v>46164</v>
      </c>
      <c r="S226" s="86" cm="1">
        <f t="array" ref="S226">WORKDAY(R226,10)</f>
        <v>46178</v>
      </c>
      <c r="T226" s="87">
        <v>0</v>
      </c>
      <c r="U226" s="91" t="s">
        <v>105</v>
      </c>
      <c r="V226" s="92">
        <v>0</v>
      </c>
      <c r="W226" s="93" cm="1">
        <f t="array" ref="W226">WORKDAY(X226,-20)</f>
        <v>46227</v>
      </c>
      <c r="X226" s="80" t="s">
        <v>429</v>
      </c>
      <c r="Y226" s="88">
        <v>0</v>
      </c>
      <c r="Z226" s="93">
        <v>46262</v>
      </c>
      <c r="AA226" s="90">
        <v>46304</v>
      </c>
      <c r="AB226" s="88">
        <v>0</v>
      </c>
      <c r="AC226" s="79" t="s">
        <v>49</v>
      </c>
      <c r="AD226" s="79" t="s">
        <v>49</v>
      </c>
      <c r="AE226" s="90"/>
      <c r="AF226" s="88">
        <v>0</v>
      </c>
      <c r="AG226" s="93" cm="1">
        <f t="array" ref="AG226">WORKDAY(AA226,2)</f>
        <v>46308</v>
      </c>
      <c r="AH226" s="90" cm="1">
        <f t="array" ref="AH226">WORKDAY(AG226,1)</f>
        <v>46309</v>
      </c>
      <c r="AI226" s="86" cm="1">
        <f t="array" ref="AI226">WORKDAY(AH226,1)</f>
        <v>46310</v>
      </c>
      <c r="AJ226" s="145"/>
      <c r="AK226" s="56"/>
    </row>
    <row r="227" spans="1:37" ht="25.5" customHeight="1">
      <c r="A227" s="140" cm="1">
        <f t="array" ref="A227">A226+1</f>
        <v>212</v>
      </c>
      <c r="B227" s="79" t="s">
        <v>1341</v>
      </c>
      <c r="C227" s="104">
        <v>2</v>
      </c>
      <c r="D227" s="79" t="s">
        <v>1333</v>
      </c>
      <c r="E227" s="79" t="s">
        <v>1342</v>
      </c>
      <c r="F227" s="79" t="s">
        <v>78</v>
      </c>
      <c r="G227" s="80" t="s">
        <v>1267</v>
      </c>
      <c r="H227" s="81">
        <v>67516</v>
      </c>
      <c r="I227" s="109"/>
      <c r="J227" s="110">
        <v>97</v>
      </c>
      <c r="K227" s="100">
        <v>0</v>
      </c>
      <c r="L227" s="105" cm="1">
        <f t="array" ref="L227">WORKDAY(M227,-10)</f>
        <v>46133</v>
      </c>
      <c r="M227" s="85">
        <v>46147</v>
      </c>
      <c r="N227" s="86" cm="1">
        <f t="array" ref="N227">WORKDAY(M227,10)</f>
        <v>46161</v>
      </c>
      <c r="O227" s="87">
        <v>0</v>
      </c>
      <c r="P227" s="88">
        <v>0</v>
      </c>
      <c r="Q227" s="89">
        <v>46136</v>
      </c>
      <c r="R227" s="96">
        <v>46164</v>
      </c>
      <c r="S227" s="86" cm="1">
        <f t="array" ref="S227">WORKDAY(R227,10)</f>
        <v>46178</v>
      </c>
      <c r="T227" s="87">
        <v>0</v>
      </c>
      <c r="U227" s="91" t="s">
        <v>105</v>
      </c>
      <c r="V227" s="92">
        <v>0</v>
      </c>
      <c r="W227" s="93" cm="1">
        <f t="array" ref="W227">WORKDAY(X227,-20)</f>
        <v>46218</v>
      </c>
      <c r="X227" s="90">
        <v>46246</v>
      </c>
      <c r="Y227" s="88">
        <v>0</v>
      </c>
      <c r="Z227" s="93">
        <v>46251</v>
      </c>
      <c r="AA227" s="90">
        <v>46304</v>
      </c>
      <c r="AB227" s="88">
        <v>0</v>
      </c>
      <c r="AC227" s="79" t="s">
        <v>49</v>
      </c>
      <c r="AD227" s="79" t="s">
        <v>49</v>
      </c>
      <c r="AE227" s="90"/>
      <c r="AF227" s="88">
        <v>0</v>
      </c>
      <c r="AG227" s="93" cm="1">
        <f t="array" ref="AG227">WORKDAY(AA227,2)</f>
        <v>46308</v>
      </c>
      <c r="AH227" s="90" cm="1">
        <f t="array" ref="AH227">WORKDAY(AG227,1)</f>
        <v>46309</v>
      </c>
      <c r="AI227" s="86" cm="1">
        <f t="array" ref="AI227">WORKDAY(AH227,1)</f>
        <v>46310</v>
      </c>
      <c r="AJ227" s="145"/>
      <c r="AK227" s="56"/>
    </row>
    <row r="228" spans="1:37" ht="25.5" customHeight="1">
      <c r="A228" s="140" cm="1">
        <f t="array" ref="A228">A227+1</f>
        <v>213</v>
      </c>
      <c r="B228" s="79" t="s">
        <v>430</v>
      </c>
      <c r="C228" s="104">
        <v>2</v>
      </c>
      <c r="D228" s="79" t="s">
        <v>431</v>
      </c>
      <c r="E228" s="79" t="s">
        <v>432</v>
      </c>
      <c r="F228" s="79"/>
      <c r="G228" s="80" t="s">
        <v>394</v>
      </c>
      <c r="H228" s="81">
        <v>42091</v>
      </c>
      <c r="I228" s="79" t="s">
        <v>433</v>
      </c>
      <c r="J228" s="98"/>
      <c r="K228" s="100">
        <v>0</v>
      </c>
      <c r="L228" s="105" cm="1">
        <f t="array" ref="L228">WORKDAY(M228,-10)</f>
        <v>46149</v>
      </c>
      <c r="M228" s="85">
        <v>46163</v>
      </c>
      <c r="N228" s="86" cm="1">
        <f t="array" ref="N228">WORKDAY(M228,10)</f>
        <v>46177</v>
      </c>
      <c r="O228" s="87">
        <v>0</v>
      </c>
      <c r="P228" s="88">
        <v>0</v>
      </c>
      <c r="Q228" s="89">
        <v>46136</v>
      </c>
      <c r="R228" s="96">
        <v>46164</v>
      </c>
      <c r="S228" s="86" cm="1">
        <f t="array" ref="S228">WORKDAY(R228,10)</f>
        <v>46178</v>
      </c>
      <c r="T228" s="87">
        <v>0</v>
      </c>
      <c r="U228" s="91" t="s">
        <v>105</v>
      </c>
      <c r="V228" s="92">
        <v>0</v>
      </c>
      <c r="W228" s="93" cm="1">
        <f t="array" ref="W228">WORKDAY(X228,-20)</f>
        <v>46227</v>
      </c>
      <c r="X228" s="80" t="s">
        <v>429</v>
      </c>
      <c r="Y228" s="88">
        <v>0</v>
      </c>
      <c r="Z228" s="93">
        <v>46265</v>
      </c>
      <c r="AA228" s="90">
        <v>46307</v>
      </c>
      <c r="AB228" s="88">
        <v>0</v>
      </c>
      <c r="AC228" s="79" t="s">
        <v>49</v>
      </c>
      <c r="AD228" s="79" t="s">
        <v>49</v>
      </c>
      <c r="AE228" s="90"/>
      <c r="AF228" s="88">
        <v>0</v>
      </c>
      <c r="AG228" s="93" cm="1">
        <f t="array" ref="AG228">WORKDAY(AA228,2)</f>
        <v>46309</v>
      </c>
      <c r="AH228" s="90" cm="1">
        <f t="array" ref="AH228">WORKDAY(AG228,1)</f>
        <v>46310</v>
      </c>
      <c r="AI228" s="86" cm="1">
        <f t="array" ref="AI228">WORKDAY(AH228,1)</f>
        <v>46311</v>
      </c>
      <c r="AJ228" s="145"/>
      <c r="AK228" s="56"/>
    </row>
    <row r="229" spans="1:37" ht="25.5" customHeight="1">
      <c r="A229" s="140" cm="1">
        <f t="array" ref="A229">A228+1</f>
        <v>214</v>
      </c>
      <c r="B229" s="79" t="s">
        <v>1343</v>
      </c>
      <c r="C229" s="104">
        <v>2</v>
      </c>
      <c r="D229" s="79" t="s">
        <v>1333</v>
      </c>
      <c r="E229" s="79" t="s">
        <v>1344</v>
      </c>
      <c r="F229" s="79" t="s">
        <v>78</v>
      </c>
      <c r="G229" s="80" t="s">
        <v>1267</v>
      </c>
      <c r="H229" s="81">
        <v>67516</v>
      </c>
      <c r="I229" s="109"/>
      <c r="J229" s="110">
        <v>98</v>
      </c>
      <c r="K229" s="100">
        <v>0</v>
      </c>
      <c r="L229" s="105" cm="1">
        <f t="array" ref="L229">WORKDAY(M229,-10)</f>
        <v>46133</v>
      </c>
      <c r="M229" s="85">
        <v>46147</v>
      </c>
      <c r="N229" s="86" cm="1">
        <f t="array" ref="N229">WORKDAY(M229,10)</f>
        <v>46161</v>
      </c>
      <c r="O229" s="87">
        <v>0</v>
      </c>
      <c r="P229" s="88">
        <v>0</v>
      </c>
      <c r="Q229" s="89">
        <v>46136</v>
      </c>
      <c r="R229" s="96">
        <v>46164</v>
      </c>
      <c r="S229" s="86" cm="1">
        <f t="array" ref="S229">WORKDAY(R229,10)</f>
        <v>46178</v>
      </c>
      <c r="T229" s="87">
        <v>0</v>
      </c>
      <c r="U229" s="91" t="s">
        <v>105</v>
      </c>
      <c r="V229" s="92">
        <v>0</v>
      </c>
      <c r="W229" s="93" cm="1">
        <f t="array" ref="W229">WORKDAY(X229,-20)</f>
        <v>46218</v>
      </c>
      <c r="X229" s="90">
        <v>46246</v>
      </c>
      <c r="Y229" s="88">
        <v>0</v>
      </c>
      <c r="Z229" s="93">
        <v>46251</v>
      </c>
      <c r="AA229" s="90">
        <v>46307</v>
      </c>
      <c r="AB229" s="88">
        <v>0</v>
      </c>
      <c r="AC229" s="79" t="s">
        <v>49</v>
      </c>
      <c r="AD229" s="79" t="s">
        <v>49</v>
      </c>
      <c r="AE229" s="90"/>
      <c r="AF229" s="88">
        <v>0</v>
      </c>
      <c r="AG229" s="93" cm="1">
        <f t="array" ref="AG229">WORKDAY(AA229,2)</f>
        <v>46309</v>
      </c>
      <c r="AH229" s="90" cm="1">
        <f t="array" ref="AH229">WORKDAY(AG229,1)</f>
        <v>46310</v>
      </c>
      <c r="AI229" s="86" cm="1">
        <f t="array" ref="AI229">WORKDAY(AH229,1)</f>
        <v>46311</v>
      </c>
      <c r="AJ229" s="145"/>
      <c r="AK229" s="56"/>
    </row>
    <row r="230" spans="1:37" ht="25.5" customHeight="1">
      <c r="A230" s="140" cm="1">
        <f t="array" ref="A230">A229+1</f>
        <v>215</v>
      </c>
      <c r="B230" s="79" t="s">
        <v>434</v>
      </c>
      <c r="C230" s="104">
        <v>2</v>
      </c>
      <c r="D230" s="79" t="s">
        <v>431</v>
      </c>
      <c r="E230" s="79" t="s">
        <v>435</v>
      </c>
      <c r="F230" s="79"/>
      <c r="G230" s="80" t="s">
        <v>394</v>
      </c>
      <c r="H230" s="81">
        <v>42091</v>
      </c>
      <c r="I230" s="79" t="s">
        <v>436</v>
      </c>
      <c r="J230" s="98"/>
      <c r="K230" s="100">
        <v>0</v>
      </c>
      <c r="L230" s="105" cm="1">
        <f t="array" ref="L230">WORKDAY(M230,-10)</f>
        <v>46149</v>
      </c>
      <c r="M230" s="85">
        <v>46163</v>
      </c>
      <c r="N230" s="86" cm="1">
        <f t="array" ref="N230">WORKDAY(M230,10)</f>
        <v>46177</v>
      </c>
      <c r="O230" s="87">
        <v>0</v>
      </c>
      <c r="P230" s="88">
        <v>0</v>
      </c>
      <c r="Q230" s="89">
        <v>46136</v>
      </c>
      <c r="R230" s="96">
        <v>46164</v>
      </c>
      <c r="S230" s="86" cm="1">
        <f t="array" ref="S230">WORKDAY(R230,10)</f>
        <v>46178</v>
      </c>
      <c r="T230" s="87">
        <v>0</v>
      </c>
      <c r="U230" s="91" t="s">
        <v>105</v>
      </c>
      <c r="V230" s="92">
        <v>0</v>
      </c>
      <c r="W230" s="93" cm="1">
        <f t="array" ref="W230">WORKDAY(X230,-20)</f>
        <v>46230</v>
      </c>
      <c r="X230" s="80" t="s">
        <v>437</v>
      </c>
      <c r="Y230" s="88">
        <v>0</v>
      </c>
      <c r="Z230" s="93">
        <v>46266</v>
      </c>
      <c r="AA230" s="90">
        <v>46308</v>
      </c>
      <c r="AB230" s="88">
        <v>0</v>
      </c>
      <c r="AC230" s="79" t="s">
        <v>49</v>
      </c>
      <c r="AD230" s="79" t="s">
        <v>49</v>
      </c>
      <c r="AE230" s="90"/>
      <c r="AF230" s="88">
        <v>0</v>
      </c>
      <c r="AG230" s="93" cm="1">
        <f t="array" ref="AG230">WORKDAY(AA230,2)</f>
        <v>46310</v>
      </c>
      <c r="AH230" s="90" cm="1">
        <f t="array" ref="AH230">WORKDAY(AG230,1)</f>
        <v>46311</v>
      </c>
      <c r="AI230" s="86" cm="1">
        <f t="array" ref="AI230">WORKDAY(AH230,1)</f>
        <v>46314</v>
      </c>
      <c r="AJ230" s="145"/>
      <c r="AK230" s="56"/>
    </row>
    <row r="231" spans="1:37" ht="25.5" customHeight="1">
      <c r="A231" s="140" cm="1">
        <f t="array" ref="A231">A230+1</f>
        <v>216</v>
      </c>
      <c r="B231" s="79" t="s">
        <v>438</v>
      </c>
      <c r="C231" s="104">
        <v>2</v>
      </c>
      <c r="D231" s="79" t="s">
        <v>431</v>
      </c>
      <c r="E231" s="79" t="s">
        <v>439</v>
      </c>
      <c r="F231" s="79"/>
      <c r="G231" s="80" t="s">
        <v>394</v>
      </c>
      <c r="H231" s="81">
        <v>42091</v>
      </c>
      <c r="I231" s="79" t="s">
        <v>440</v>
      </c>
      <c r="J231" s="98"/>
      <c r="K231" s="100">
        <v>0</v>
      </c>
      <c r="L231" s="105" cm="1">
        <f t="array" ref="L231">WORKDAY(M231,-10)</f>
        <v>46149</v>
      </c>
      <c r="M231" s="85">
        <v>46163</v>
      </c>
      <c r="N231" s="86" cm="1">
        <f t="array" ref="N231">WORKDAY(M231,10)</f>
        <v>46177</v>
      </c>
      <c r="O231" s="87">
        <v>0</v>
      </c>
      <c r="P231" s="88">
        <v>0</v>
      </c>
      <c r="Q231" s="89">
        <v>46136</v>
      </c>
      <c r="R231" s="96">
        <v>46164</v>
      </c>
      <c r="S231" s="86" cm="1">
        <f t="array" ref="S231">WORKDAY(R231,10)</f>
        <v>46178</v>
      </c>
      <c r="T231" s="87">
        <v>0</v>
      </c>
      <c r="U231" s="91" t="s">
        <v>105</v>
      </c>
      <c r="V231" s="92">
        <v>0</v>
      </c>
      <c r="W231" s="93" cm="1">
        <f t="array" ref="W231">WORKDAY(X231,-20)</f>
        <v>46231</v>
      </c>
      <c r="X231" s="80" t="s">
        <v>441</v>
      </c>
      <c r="Y231" s="88">
        <v>0</v>
      </c>
      <c r="Z231" s="93">
        <v>46266</v>
      </c>
      <c r="AA231" s="90">
        <v>46308</v>
      </c>
      <c r="AB231" s="88">
        <v>0</v>
      </c>
      <c r="AC231" s="79" t="s">
        <v>49</v>
      </c>
      <c r="AD231" s="79" t="s">
        <v>49</v>
      </c>
      <c r="AE231" s="90"/>
      <c r="AF231" s="88">
        <v>0</v>
      </c>
      <c r="AG231" s="93" cm="1">
        <f t="array" ref="AG231">WORKDAY(AA231,2)</f>
        <v>46310</v>
      </c>
      <c r="AH231" s="90" cm="1">
        <f t="array" ref="AH231">WORKDAY(AG231,1)</f>
        <v>46311</v>
      </c>
      <c r="AI231" s="86" cm="1">
        <f t="array" ref="AI231">WORKDAY(AH231,1)</f>
        <v>46314</v>
      </c>
      <c r="AJ231" s="145"/>
      <c r="AK231" s="56"/>
    </row>
    <row r="232" spans="1:37" ht="25.5" customHeight="1">
      <c r="A232" s="140" cm="1">
        <f t="array" ref="A232">A231+1</f>
        <v>217</v>
      </c>
      <c r="B232" s="79" t="s">
        <v>1345</v>
      </c>
      <c r="C232" s="104">
        <v>2</v>
      </c>
      <c r="D232" s="79" t="s">
        <v>1204</v>
      </c>
      <c r="E232" s="79" t="s">
        <v>1346</v>
      </c>
      <c r="F232" s="79" t="s">
        <v>78</v>
      </c>
      <c r="G232" s="80" t="s">
        <v>1267</v>
      </c>
      <c r="H232" s="81">
        <v>67516</v>
      </c>
      <c r="I232" s="109"/>
      <c r="J232" s="110">
        <v>99</v>
      </c>
      <c r="K232" s="107" t="s">
        <v>1125</v>
      </c>
      <c r="L232" s="84">
        <v>46099</v>
      </c>
      <c r="M232" s="85">
        <v>46115</v>
      </c>
      <c r="N232" s="86" cm="1">
        <f t="array" ref="N232">WORKDAY(M232,10)</f>
        <v>46129</v>
      </c>
      <c r="O232" s="87">
        <v>0</v>
      </c>
      <c r="P232" s="88">
        <v>0</v>
      </c>
      <c r="Q232" s="89">
        <v>46136</v>
      </c>
      <c r="R232" s="96">
        <v>46164</v>
      </c>
      <c r="S232" s="86" cm="1">
        <f t="array" ref="S232">WORKDAY(R232,10)</f>
        <v>46178</v>
      </c>
      <c r="T232" s="87">
        <v>0</v>
      </c>
      <c r="U232" s="91" t="s">
        <v>105</v>
      </c>
      <c r="V232" s="92">
        <v>0</v>
      </c>
      <c r="W232" s="93" cm="1">
        <f t="array" ref="W232">WORKDAY(X232,-20)</f>
        <v>46219</v>
      </c>
      <c r="X232" s="90">
        <v>46247</v>
      </c>
      <c r="Y232" s="88">
        <v>0</v>
      </c>
      <c r="Z232" s="93">
        <v>46252</v>
      </c>
      <c r="AA232" s="90">
        <v>46308</v>
      </c>
      <c r="AB232" s="88">
        <v>0</v>
      </c>
      <c r="AC232" s="79" t="s">
        <v>49</v>
      </c>
      <c r="AD232" s="79" t="s">
        <v>49</v>
      </c>
      <c r="AE232" s="90"/>
      <c r="AF232" s="88">
        <v>0</v>
      </c>
      <c r="AG232" s="93" cm="1">
        <f t="array" ref="AG232">WORKDAY(AA232,2)</f>
        <v>46310</v>
      </c>
      <c r="AH232" s="90" cm="1">
        <f t="array" ref="AH232">WORKDAY(AG232,1)</f>
        <v>46311</v>
      </c>
      <c r="AI232" s="86" cm="1">
        <f t="array" ref="AI232">WORKDAY(AH232,1)</f>
        <v>46314</v>
      </c>
      <c r="AJ232" s="145"/>
      <c r="AK232" s="56"/>
    </row>
    <row r="233" spans="1:37" ht="25.5" customHeight="1">
      <c r="A233" s="140" cm="1">
        <f t="array" ref="A233">A232+1</f>
        <v>218</v>
      </c>
      <c r="B233" s="79" t="s">
        <v>442</v>
      </c>
      <c r="C233" s="104">
        <v>2</v>
      </c>
      <c r="D233" s="79" t="s">
        <v>443</v>
      </c>
      <c r="E233" s="79" t="s">
        <v>444</v>
      </c>
      <c r="F233" s="79"/>
      <c r="G233" s="80" t="s">
        <v>394</v>
      </c>
      <c r="H233" s="81">
        <v>43429</v>
      </c>
      <c r="I233" s="79" t="s">
        <v>445</v>
      </c>
      <c r="J233" s="98"/>
      <c r="K233" s="100">
        <v>0</v>
      </c>
      <c r="L233" s="105" cm="1">
        <f t="array" ref="L233">WORKDAY(M233,-10)</f>
        <v>46149</v>
      </c>
      <c r="M233" s="85">
        <v>46163</v>
      </c>
      <c r="N233" s="86" cm="1">
        <f t="array" ref="N233">WORKDAY(M233,10)</f>
        <v>46177</v>
      </c>
      <c r="O233" s="87">
        <v>0</v>
      </c>
      <c r="P233" s="88">
        <v>0</v>
      </c>
      <c r="Q233" s="89">
        <v>46136</v>
      </c>
      <c r="R233" s="96">
        <v>46164</v>
      </c>
      <c r="S233" s="86" cm="1">
        <f t="array" ref="S233">WORKDAY(R233,10)</f>
        <v>46178</v>
      </c>
      <c r="T233" s="87">
        <v>0</v>
      </c>
      <c r="U233" s="91" t="s">
        <v>105</v>
      </c>
      <c r="V233" s="92">
        <v>0</v>
      </c>
      <c r="W233" s="93" cm="1">
        <f t="array" ref="W233">WORKDAY(X233,-20)</f>
        <v>46231</v>
      </c>
      <c r="X233" s="80" t="s">
        <v>441</v>
      </c>
      <c r="Y233" s="88">
        <v>0</v>
      </c>
      <c r="Z233" s="93">
        <v>46267</v>
      </c>
      <c r="AA233" s="90">
        <v>46309</v>
      </c>
      <c r="AB233" s="88">
        <v>0</v>
      </c>
      <c r="AC233" s="79" t="s">
        <v>49</v>
      </c>
      <c r="AD233" s="79" t="s">
        <v>49</v>
      </c>
      <c r="AE233" s="90"/>
      <c r="AF233" s="88">
        <v>0</v>
      </c>
      <c r="AG233" s="93" cm="1">
        <f t="array" ref="AG233">WORKDAY(AA233,2)</f>
        <v>46311</v>
      </c>
      <c r="AH233" s="90" cm="1">
        <f t="array" ref="AH233">WORKDAY(AG233,1)</f>
        <v>46314</v>
      </c>
      <c r="AI233" s="86" cm="1">
        <f t="array" ref="AI233">WORKDAY(AH233,1)</f>
        <v>46315</v>
      </c>
      <c r="AJ233" s="145"/>
      <c r="AK233" s="56"/>
    </row>
    <row r="234" spans="1:37" ht="25.5" customHeight="1">
      <c r="A234" s="140" cm="1">
        <f t="array" ref="A234">A233+1</f>
        <v>219</v>
      </c>
      <c r="B234" s="79" t="s">
        <v>446</v>
      </c>
      <c r="C234" s="104">
        <v>2</v>
      </c>
      <c r="D234" s="79" t="s">
        <v>443</v>
      </c>
      <c r="E234" s="79" t="s">
        <v>447</v>
      </c>
      <c r="F234" s="79"/>
      <c r="G234" s="80" t="s">
        <v>394</v>
      </c>
      <c r="H234" s="81">
        <v>43429</v>
      </c>
      <c r="I234" s="79" t="s">
        <v>448</v>
      </c>
      <c r="J234" s="98"/>
      <c r="K234" s="100">
        <v>0</v>
      </c>
      <c r="L234" s="105" cm="1">
        <f t="array" ref="L234">WORKDAY(M234,-10)</f>
        <v>46149</v>
      </c>
      <c r="M234" s="85">
        <v>46163</v>
      </c>
      <c r="N234" s="86" cm="1">
        <f t="array" ref="N234">WORKDAY(M234,10)</f>
        <v>46177</v>
      </c>
      <c r="O234" s="87">
        <v>0</v>
      </c>
      <c r="P234" s="88">
        <v>0</v>
      </c>
      <c r="Q234" s="89">
        <v>46136</v>
      </c>
      <c r="R234" s="96">
        <v>46164</v>
      </c>
      <c r="S234" s="86" cm="1">
        <f t="array" ref="S234">WORKDAY(R234,10)</f>
        <v>46178</v>
      </c>
      <c r="T234" s="87">
        <v>0</v>
      </c>
      <c r="U234" s="91" t="s">
        <v>105</v>
      </c>
      <c r="V234" s="92">
        <v>0</v>
      </c>
      <c r="W234" s="93" cm="1">
        <f t="array" ref="W234">WORKDAY(X234,-20)</f>
        <v>46232</v>
      </c>
      <c r="X234" s="80" t="s">
        <v>449</v>
      </c>
      <c r="Y234" s="88">
        <v>0</v>
      </c>
      <c r="Z234" s="93">
        <v>46267</v>
      </c>
      <c r="AA234" s="90">
        <v>46309</v>
      </c>
      <c r="AB234" s="88">
        <v>0</v>
      </c>
      <c r="AC234" s="79" t="s">
        <v>49</v>
      </c>
      <c r="AD234" s="79" t="s">
        <v>49</v>
      </c>
      <c r="AE234" s="90"/>
      <c r="AF234" s="88">
        <v>0</v>
      </c>
      <c r="AG234" s="93" cm="1">
        <f t="array" ref="AG234">WORKDAY(AA234,2)</f>
        <v>46311</v>
      </c>
      <c r="AH234" s="90" cm="1">
        <f t="array" ref="AH234">WORKDAY(AG234,1)</f>
        <v>46314</v>
      </c>
      <c r="AI234" s="86" cm="1">
        <f t="array" ref="AI234">WORKDAY(AH234,1)</f>
        <v>46315</v>
      </c>
      <c r="AJ234" s="145"/>
      <c r="AK234" s="56"/>
    </row>
    <row r="235" spans="1:37" ht="25.5" customHeight="1">
      <c r="A235" s="140" cm="1">
        <f t="array" ref="A235">A234+1</f>
        <v>220</v>
      </c>
      <c r="B235" s="79" t="s">
        <v>1347</v>
      </c>
      <c r="C235" s="104">
        <v>2</v>
      </c>
      <c r="D235" s="79" t="s">
        <v>1208</v>
      </c>
      <c r="E235" s="79" t="s">
        <v>1348</v>
      </c>
      <c r="F235" s="79" t="s">
        <v>78</v>
      </c>
      <c r="G235" s="80" t="s">
        <v>1267</v>
      </c>
      <c r="H235" s="81">
        <v>67516</v>
      </c>
      <c r="I235" s="109"/>
      <c r="J235" s="110">
        <v>100</v>
      </c>
      <c r="K235" s="99" t="s">
        <v>126</v>
      </c>
      <c r="L235" s="84">
        <v>46099</v>
      </c>
      <c r="M235" s="85">
        <v>46111</v>
      </c>
      <c r="N235" s="86">
        <v>46114</v>
      </c>
      <c r="O235" s="87">
        <v>0</v>
      </c>
      <c r="P235" s="88">
        <v>0</v>
      </c>
      <c r="Q235" s="89">
        <v>46136</v>
      </c>
      <c r="R235" s="96">
        <v>46164</v>
      </c>
      <c r="S235" s="86" cm="1">
        <f t="array" ref="S235">WORKDAY(R235,10)</f>
        <v>46178</v>
      </c>
      <c r="T235" s="87">
        <v>0</v>
      </c>
      <c r="U235" s="91" t="s">
        <v>105</v>
      </c>
      <c r="V235" s="92">
        <v>0</v>
      </c>
      <c r="W235" s="93" cm="1">
        <f t="array" ref="W235">WORKDAY(X235,-20)</f>
        <v>46220</v>
      </c>
      <c r="X235" s="90">
        <v>46248</v>
      </c>
      <c r="Y235" s="88">
        <v>0</v>
      </c>
      <c r="Z235" s="93">
        <v>46253</v>
      </c>
      <c r="AA235" s="90">
        <v>46309</v>
      </c>
      <c r="AB235" s="88">
        <v>0</v>
      </c>
      <c r="AC235" s="79" t="s">
        <v>49</v>
      </c>
      <c r="AD235" s="79" t="s">
        <v>49</v>
      </c>
      <c r="AE235" s="90"/>
      <c r="AF235" s="88">
        <v>0</v>
      </c>
      <c r="AG235" s="93" cm="1">
        <f t="array" ref="AG235">WORKDAY(AA235,2)</f>
        <v>46311</v>
      </c>
      <c r="AH235" s="90" cm="1">
        <f t="array" ref="AH235">WORKDAY(AG235,1)</f>
        <v>46314</v>
      </c>
      <c r="AI235" s="86" cm="1">
        <f t="array" ref="AI235">WORKDAY(AH235,1)</f>
        <v>46315</v>
      </c>
      <c r="AJ235" s="145"/>
      <c r="AK235" s="56"/>
    </row>
    <row r="236" spans="1:37" ht="25.5" customHeight="1">
      <c r="A236" s="140" cm="1">
        <f t="array" ref="A236">A235+1</f>
        <v>221</v>
      </c>
      <c r="B236" s="79" t="s">
        <v>450</v>
      </c>
      <c r="C236" s="104">
        <v>2</v>
      </c>
      <c r="D236" s="79" t="s">
        <v>451</v>
      </c>
      <c r="E236" s="79" t="s">
        <v>452</v>
      </c>
      <c r="F236" s="79"/>
      <c r="G236" s="80" t="s">
        <v>394</v>
      </c>
      <c r="H236" s="81">
        <v>42542</v>
      </c>
      <c r="I236" s="79" t="s">
        <v>453</v>
      </c>
      <c r="J236" s="98"/>
      <c r="K236" s="100">
        <v>0</v>
      </c>
      <c r="L236" s="105" cm="1">
        <f t="array" ref="L236">WORKDAY(M236,-10)</f>
        <v>46149</v>
      </c>
      <c r="M236" s="85">
        <v>46163</v>
      </c>
      <c r="N236" s="86" cm="1">
        <f t="array" ref="N236">WORKDAY(M236,10)</f>
        <v>46177</v>
      </c>
      <c r="O236" s="87">
        <v>0</v>
      </c>
      <c r="P236" s="88">
        <v>0</v>
      </c>
      <c r="Q236" s="89">
        <v>46136</v>
      </c>
      <c r="R236" s="96">
        <v>46164</v>
      </c>
      <c r="S236" s="86" cm="1">
        <f t="array" ref="S236">WORKDAY(R236,10)</f>
        <v>46178</v>
      </c>
      <c r="T236" s="87">
        <v>0</v>
      </c>
      <c r="U236" s="91" t="s">
        <v>105</v>
      </c>
      <c r="V236" s="92">
        <v>0</v>
      </c>
      <c r="W236" s="93" cm="1">
        <f t="array" ref="W236">WORKDAY(X236,-20)</f>
        <v>46233</v>
      </c>
      <c r="X236" s="90">
        <v>46261</v>
      </c>
      <c r="Y236" s="88">
        <v>0</v>
      </c>
      <c r="Z236" s="93">
        <v>46268</v>
      </c>
      <c r="AA236" s="90">
        <v>46310</v>
      </c>
      <c r="AB236" s="88">
        <v>0</v>
      </c>
      <c r="AC236" s="79" t="s">
        <v>49</v>
      </c>
      <c r="AD236" s="79" t="s">
        <v>49</v>
      </c>
      <c r="AE236" s="90"/>
      <c r="AF236" s="88">
        <v>0</v>
      </c>
      <c r="AG236" s="93" cm="1">
        <f t="array" ref="AG236">WORKDAY(AA236,2)</f>
        <v>46314</v>
      </c>
      <c r="AH236" s="90" cm="1">
        <f t="array" ref="AH236">WORKDAY(AG236,1)</f>
        <v>46315</v>
      </c>
      <c r="AI236" s="86" cm="1">
        <f t="array" ref="AI236">WORKDAY(AH236,1)</f>
        <v>46316</v>
      </c>
      <c r="AJ236" s="145"/>
      <c r="AK236" s="56"/>
    </row>
    <row r="237" spans="1:37" ht="25.5" customHeight="1">
      <c r="A237" s="140" cm="1">
        <f t="array" ref="A237">A236+1</f>
        <v>222</v>
      </c>
      <c r="B237" s="79" t="s">
        <v>454</v>
      </c>
      <c r="C237" s="104">
        <v>2</v>
      </c>
      <c r="D237" s="79" t="s">
        <v>451</v>
      </c>
      <c r="E237" s="79" t="s">
        <v>455</v>
      </c>
      <c r="F237" s="79"/>
      <c r="G237" s="80" t="s">
        <v>394</v>
      </c>
      <c r="H237" s="81">
        <v>42542</v>
      </c>
      <c r="I237" s="79" t="s">
        <v>456</v>
      </c>
      <c r="J237" s="98"/>
      <c r="K237" s="100">
        <v>0</v>
      </c>
      <c r="L237" s="105" cm="1">
        <f t="array" ref="L237">WORKDAY(M237,-10)</f>
        <v>46149</v>
      </c>
      <c r="M237" s="85">
        <v>46163</v>
      </c>
      <c r="N237" s="86" cm="1">
        <f t="array" ref="N237">WORKDAY(M237,10)</f>
        <v>46177</v>
      </c>
      <c r="O237" s="87">
        <v>0</v>
      </c>
      <c r="P237" s="88">
        <v>0</v>
      </c>
      <c r="Q237" s="89">
        <v>46136</v>
      </c>
      <c r="R237" s="96">
        <v>46164</v>
      </c>
      <c r="S237" s="86" cm="1">
        <f t="array" ref="S237">WORKDAY(R237,10)</f>
        <v>46178</v>
      </c>
      <c r="T237" s="87">
        <v>0</v>
      </c>
      <c r="U237" s="91" t="s">
        <v>105</v>
      </c>
      <c r="V237" s="92">
        <v>0</v>
      </c>
      <c r="W237" s="93" cm="1">
        <f t="array" ref="W237">WORKDAY(X237,-20)</f>
        <v>46233</v>
      </c>
      <c r="X237" s="90">
        <v>46261</v>
      </c>
      <c r="Y237" s="88">
        <v>0</v>
      </c>
      <c r="Z237" s="93">
        <v>46268</v>
      </c>
      <c r="AA237" s="90">
        <v>46310</v>
      </c>
      <c r="AB237" s="88">
        <v>0</v>
      </c>
      <c r="AC237" s="79" t="s">
        <v>49</v>
      </c>
      <c r="AD237" s="79" t="s">
        <v>49</v>
      </c>
      <c r="AE237" s="90"/>
      <c r="AF237" s="88">
        <v>0</v>
      </c>
      <c r="AG237" s="93" cm="1">
        <f t="array" ref="AG237">WORKDAY(AA237,2)</f>
        <v>46314</v>
      </c>
      <c r="AH237" s="90" cm="1">
        <f t="array" ref="AH237">WORKDAY(AG237,1)</f>
        <v>46315</v>
      </c>
      <c r="AI237" s="86" cm="1">
        <f t="array" ref="AI237">WORKDAY(AH237,1)</f>
        <v>46316</v>
      </c>
      <c r="AJ237" s="145"/>
      <c r="AK237" s="56"/>
    </row>
    <row r="238" spans="1:37" ht="25.5" customHeight="1">
      <c r="A238" s="140" cm="1">
        <f t="array" ref="A238">A237+1</f>
        <v>223</v>
      </c>
      <c r="B238" s="79" t="s">
        <v>457</v>
      </c>
      <c r="C238" s="104">
        <v>2</v>
      </c>
      <c r="D238" s="79" t="s">
        <v>451</v>
      </c>
      <c r="E238" s="79" t="s">
        <v>458</v>
      </c>
      <c r="F238" s="79"/>
      <c r="G238" s="80" t="s">
        <v>394</v>
      </c>
      <c r="H238" s="81">
        <v>42542</v>
      </c>
      <c r="I238" s="79" t="s">
        <v>459</v>
      </c>
      <c r="J238" s="98"/>
      <c r="K238" s="100">
        <v>0</v>
      </c>
      <c r="L238" s="105" cm="1">
        <f t="array" ref="L238">WORKDAY(M238,-10)</f>
        <v>46149</v>
      </c>
      <c r="M238" s="85">
        <v>46163</v>
      </c>
      <c r="N238" s="86" cm="1">
        <f t="array" ref="N238">WORKDAY(M238,10)</f>
        <v>46177</v>
      </c>
      <c r="O238" s="87">
        <v>0</v>
      </c>
      <c r="P238" s="88">
        <v>0</v>
      </c>
      <c r="Q238" s="89">
        <v>46136</v>
      </c>
      <c r="R238" s="96">
        <v>46164</v>
      </c>
      <c r="S238" s="86" cm="1">
        <f t="array" ref="S238">WORKDAY(R238,10)</f>
        <v>46178</v>
      </c>
      <c r="T238" s="87">
        <v>0</v>
      </c>
      <c r="U238" s="91" t="s">
        <v>105</v>
      </c>
      <c r="V238" s="92">
        <v>0</v>
      </c>
      <c r="W238" s="93" cm="1">
        <f t="array" ref="W238">WORKDAY(X238,-20)</f>
        <v>46234</v>
      </c>
      <c r="X238" s="90">
        <v>46262</v>
      </c>
      <c r="Y238" s="88">
        <v>0</v>
      </c>
      <c r="Z238" s="93">
        <v>46268</v>
      </c>
      <c r="AA238" s="90">
        <v>46310</v>
      </c>
      <c r="AB238" s="88">
        <v>0</v>
      </c>
      <c r="AC238" s="79" t="s">
        <v>49</v>
      </c>
      <c r="AD238" s="79" t="s">
        <v>49</v>
      </c>
      <c r="AE238" s="90"/>
      <c r="AF238" s="88">
        <v>0</v>
      </c>
      <c r="AG238" s="93" cm="1">
        <f t="array" ref="AG238">WORKDAY(AA238,2)</f>
        <v>46314</v>
      </c>
      <c r="AH238" s="90" cm="1">
        <f t="array" ref="AH238">WORKDAY(AG238,1)</f>
        <v>46315</v>
      </c>
      <c r="AI238" s="86" cm="1">
        <f t="array" ref="AI238">WORKDAY(AH238,1)</f>
        <v>46316</v>
      </c>
      <c r="AJ238" s="145"/>
      <c r="AK238" s="56"/>
    </row>
    <row r="239" spans="1:37" ht="25.5" customHeight="1">
      <c r="A239" s="140" cm="1">
        <f t="array" ref="A239">A238+1</f>
        <v>224</v>
      </c>
      <c r="B239" s="79" t="s">
        <v>1349</v>
      </c>
      <c r="C239" s="104">
        <v>2</v>
      </c>
      <c r="D239" s="79" t="s">
        <v>1208</v>
      </c>
      <c r="E239" s="79" t="s">
        <v>1350</v>
      </c>
      <c r="F239" s="79" t="s">
        <v>78</v>
      </c>
      <c r="G239" s="80" t="s">
        <v>1267</v>
      </c>
      <c r="H239" s="81">
        <v>67516</v>
      </c>
      <c r="I239" s="109"/>
      <c r="J239" s="110">
        <v>101</v>
      </c>
      <c r="K239" s="99" t="s">
        <v>126</v>
      </c>
      <c r="L239" s="84">
        <v>46099</v>
      </c>
      <c r="M239" s="85">
        <v>46111</v>
      </c>
      <c r="N239" s="86">
        <v>46114</v>
      </c>
      <c r="O239" s="87">
        <v>0</v>
      </c>
      <c r="P239" s="88">
        <v>0</v>
      </c>
      <c r="Q239" s="89">
        <v>46136</v>
      </c>
      <c r="R239" s="96">
        <v>46164</v>
      </c>
      <c r="S239" s="86" cm="1">
        <f t="array" ref="S239">WORKDAY(R239,10)</f>
        <v>46178</v>
      </c>
      <c r="T239" s="87">
        <v>0</v>
      </c>
      <c r="U239" s="91" t="s">
        <v>105</v>
      </c>
      <c r="V239" s="92">
        <v>0</v>
      </c>
      <c r="W239" s="93" cm="1">
        <f t="array" ref="W239">WORKDAY(X239,-20)</f>
        <v>46220</v>
      </c>
      <c r="X239" s="90">
        <v>46248</v>
      </c>
      <c r="Y239" s="88">
        <v>0</v>
      </c>
      <c r="Z239" s="93">
        <v>46253</v>
      </c>
      <c r="AA239" s="90">
        <v>46310</v>
      </c>
      <c r="AB239" s="88">
        <v>0</v>
      </c>
      <c r="AC239" s="79" t="s">
        <v>49</v>
      </c>
      <c r="AD239" s="79" t="s">
        <v>49</v>
      </c>
      <c r="AE239" s="90"/>
      <c r="AF239" s="88">
        <v>0</v>
      </c>
      <c r="AG239" s="93" cm="1">
        <f t="array" ref="AG239">WORKDAY(AA239,2)</f>
        <v>46314</v>
      </c>
      <c r="AH239" s="90" cm="1">
        <f t="array" ref="AH239">WORKDAY(AG239,1)</f>
        <v>46315</v>
      </c>
      <c r="AI239" s="86" cm="1">
        <f t="array" ref="AI239">WORKDAY(AH239,1)</f>
        <v>46316</v>
      </c>
      <c r="AJ239" s="145"/>
      <c r="AK239" s="56"/>
    </row>
    <row r="240" spans="1:37" ht="25.5" customHeight="1">
      <c r="A240" s="140" cm="1">
        <f t="array" ref="A240">A239+1</f>
        <v>225</v>
      </c>
      <c r="B240" s="79" t="s">
        <v>460</v>
      </c>
      <c r="C240" s="104">
        <v>2</v>
      </c>
      <c r="D240" s="79" t="s">
        <v>461</v>
      </c>
      <c r="E240" s="79" t="s">
        <v>462</v>
      </c>
      <c r="F240" s="79"/>
      <c r="G240" s="80" t="s">
        <v>463</v>
      </c>
      <c r="H240" s="81">
        <v>40533</v>
      </c>
      <c r="I240" s="79" t="s">
        <v>464</v>
      </c>
      <c r="J240" s="98"/>
      <c r="K240" s="100">
        <v>0</v>
      </c>
      <c r="L240" s="105" cm="1">
        <f t="array" ref="L240">WORKDAY(M240,-10)</f>
        <v>46149</v>
      </c>
      <c r="M240" s="85">
        <v>46163</v>
      </c>
      <c r="N240" s="86" cm="1">
        <f t="array" ref="N240">WORKDAY(M240,10)</f>
        <v>46177</v>
      </c>
      <c r="O240" s="87">
        <v>0</v>
      </c>
      <c r="P240" s="88">
        <v>0</v>
      </c>
      <c r="Q240" s="89">
        <v>46136</v>
      </c>
      <c r="R240" s="96">
        <v>46164</v>
      </c>
      <c r="S240" s="86" cm="1">
        <f t="array" ref="S240">WORKDAY(R240,10)</f>
        <v>46178</v>
      </c>
      <c r="T240" s="87">
        <v>0</v>
      </c>
      <c r="U240" s="91" t="s">
        <v>105</v>
      </c>
      <c r="V240" s="92">
        <v>0</v>
      </c>
      <c r="W240" s="93" cm="1">
        <f t="array" ref="W240">WORKDAY(X240,-20)</f>
        <v>46234</v>
      </c>
      <c r="X240" s="90">
        <v>46262</v>
      </c>
      <c r="Y240" s="88">
        <v>0</v>
      </c>
      <c r="Z240" s="93">
        <v>46269</v>
      </c>
      <c r="AA240" s="90">
        <v>46311</v>
      </c>
      <c r="AB240" s="88">
        <v>0</v>
      </c>
      <c r="AC240" s="79" t="s">
        <v>49</v>
      </c>
      <c r="AD240" s="79" t="s">
        <v>49</v>
      </c>
      <c r="AE240" s="90"/>
      <c r="AF240" s="88">
        <v>0</v>
      </c>
      <c r="AG240" s="93" cm="1">
        <f t="array" ref="AG240">WORKDAY(AA240,2)</f>
        <v>46315</v>
      </c>
      <c r="AH240" s="90" cm="1">
        <f t="array" ref="AH240">WORKDAY(AG240,1)</f>
        <v>46316</v>
      </c>
      <c r="AI240" s="86" cm="1">
        <f t="array" ref="AI240">WORKDAY(AH240,1)</f>
        <v>46317</v>
      </c>
      <c r="AJ240" s="145"/>
      <c r="AK240" s="56"/>
    </row>
    <row r="241" spans="1:37" ht="25.5" customHeight="1">
      <c r="A241" s="140" cm="1">
        <f t="array" ref="A241">A240+1</f>
        <v>226</v>
      </c>
      <c r="B241" s="79" t="s">
        <v>465</v>
      </c>
      <c r="C241" s="104">
        <v>2</v>
      </c>
      <c r="D241" s="79" t="s">
        <v>461</v>
      </c>
      <c r="E241" s="79" t="s">
        <v>466</v>
      </c>
      <c r="F241" s="79"/>
      <c r="G241" s="80" t="s">
        <v>463</v>
      </c>
      <c r="H241" s="81">
        <v>40533</v>
      </c>
      <c r="I241" s="79" t="s">
        <v>467</v>
      </c>
      <c r="J241" s="98"/>
      <c r="K241" s="100">
        <v>0</v>
      </c>
      <c r="L241" s="105" cm="1">
        <f t="array" ref="L241">WORKDAY(M241,-10)</f>
        <v>46149</v>
      </c>
      <c r="M241" s="85">
        <v>46163</v>
      </c>
      <c r="N241" s="86" cm="1">
        <f t="array" ref="N241">WORKDAY(M241,10)</f>
        <v>46177</v>
      </c>
      <c r="O241" s="87">
        <v>0</v>
      </c>
      <c r="P241" s="88">
        <v>0</v>
      </c>
      <c r="Q241" s="89">
        <v>46136</v>
      </c>
      <c r="R241" s="96">
        <v>46164</v>
      </c>
      <c r="S241" s="86" cm="1">
        <f t="array" ref="S241">WORKDAY(R241,10)</f>
        <v>46178</v>
      </c>
      <c r="T241" s="87">
        <v>0</v>
      </c>
      <c r="U241" s="91" t="s">
        <v>105</v>
      </c>
      <c r="V241" s="92">
        <v>0</v>
      </c>
      <c r="W241" s="93" cm="1">
        <f t="array" ref="W241">WORKDAY(X241,-20)</f>
        <v>46237</v>
      </c>
      <c r="X241" s="90">
        <v>46265</v>
      </c>
      <c r="Y241" s="88">
        <v>0</v>
      </c>
      <c r="Z241" s="93">
        <v>46269</v>
      </c>
      <c r="AA241" s="90">
        <v>46311</v>
      </c>
      <c r="AB241" s="88">
        <v>0</v>
      </c>
      <c r="AC241" s="79" t="s">
        <v>49</v>
      </c>
      <c r="AD241" s="79" t="s">
        <v>49</v>
      </c>
      <c r="AE241" s="90"/>
      <c r="AF241" s="88">
        <v>0</v>
      </c>
      <c r="AG241" s="93" cm="1">
        <f t="array" ref="AG241">WORKDAY(AA241,2)</f>
        <v>46315</v>
      </c>
      <c r="AH241" s="90" cm="1">
        <f t="array" ref="AH241">WORKDAY(AG241,1)</f>
        <v>46316</v>
      </c>
      <c r="AI241" s="86" cm="1">
        <f t="array" ref="AI241">WORKDAY(AH241,1)</f>
        <v>46317</v>
      </c>
      <c r="AJ241" s="145"/>
      <c r="AK241" s="56"/>
    </row>
    <row r="242" spans="1:37" ht="25.5" customHeight="1">
      <c r="A242" s="140" cm="1">
        <f t="array" ref="A242">A241+1</f>
        <v>227</v>
      </c>
      <c r="B242" s="79" t="s">
        <v>1351</v>
      </c>
      <c r="C242" s="104">
        <v>2</v>
      </c>
      <c r="D242" s="79" t="s">
        <v>1208</v>
      </c>
      <c r="E242" s="79" t="s">
        <v>1352</v>
      </c>
      <c r="F242" s="79" t="s">
        <v>78</v>
      </c>
      <c r="G242" s="80" t="s">
        <v>1267</v>
      </c>
      <c r="H242" s="81">
        <v>67516</v>
      </c>
      <c r="I242" s="109"/>
      <c r="J242" s="110">
        <v>102</v>
      </c>
      <c r="K242" s="99" t="s">
        <v>126</v>
      </c>
      <c r="L242" s="84">
        <v>46099</v>
      </c>
      <c r="M242" s="85">
        <v>46111</v>
      </c>
      <c r="N242" s="86">
        <v>46114</v>
      </c>
      <c r="O242" s="87">
        <v>0</v>
      </c>
      <c r="P242" s="88">
        <v>0</v>
      </c>
      <c r="Q242" s="89">
        <v>46136</v>
      </c>
      <c r="R242" s="96">
        <v>46164</v>
      </c>
      <c r="S242" s="86" cm="1">
        <f t="array" ref="S242">WORKDAY(R242,10)</f>
        <v>46178</v>
      </c>
      <c r="T242" s="87">
        <v>0</v>
      </c>
      <c r="U242" s="91" t="s">
        <v>105</v>
      </c>
      <c r="V242" s="92">
        <v>0</v>
      </c>
      <c r="W242" s="93" cm="1">
        <f t="array" ref="W242">WORKDAY(X242,-20)</f>
        <v>46223</v>
      </c>
      <c r="X242" s="90">
        <v>46251</v>
      </c>
      <c r="Y242" s="88">
        <v>0</v>
      </c>
      <c r="Z242" s="93">
        <v>46254</v>
      </c>
      <c r="AA242" s="90">
        <v>46311</v>
      </c>
      <c r="AB242" s="88">
        <v>0</v>
      </c>
      <c r="AC242" s="79" t="s">
        <v>49</v>
      </c>
      <c r="AD242" s="79" t="s">
        <v>49</v>
      </c>
      <c r="AE242" s="90"/>
      <c r="AF242" s="88">
        <v>0</v>
      </c>
      <c r="AG242" s="93" cm="1">
        <f t="array" ref="AG242">WORKDAY(AA242,2)</f>
        <v>46315</v>
      </c>
      <c r="AH242" s="90" cm="1">
        <f t="array" ref="AH242">WORKDAY(AG242,1)</f>
        <v>46316</v>
      </c>
      <c r="AI242" s="86" cm="1">
        <f t="array" ref="AI242">WORKDAY(AH242,1)</f>
        <v>46317</v>
      </c>
      <c r="AJ242" s="145"/>
      <c r="AK242" s="56"/>
    </row>
    <row r="243" spans="1:37" ht="25.5" customHeight="1">
      <c r="A243" s="140" cm="1">
        <f t="array" ref="A243">A242+1</f>
        <v>228</v>
      </c>
      <c r="B243" s="79" t="s">
        <v>468</v>
      </c>
      <c r="C243" s="104">
        <v>2</v>
      </c>
      <c r="D243" s="79" t="s">
        <v>461</v>
      </c>
      <c r="E243" s="79" t="s">
        <v>469</v>
      </c>
      <c r="F243" s="79"/>
      <c r="G243" s="80" t="s">
        <v>463</v>
      </c>
      <c r="H243" s="81">
        <v>40533</v>
      </c>
      <c r="I243" s="79" t="s">
        <v>470</v>
      </c>
      <c r="J243" s="98"/>
      <c r="K243" s="100">
        <v>0</v>
      </c>
      <c r="L243" s="105" cm="1">
        <f t="array" ref="L243">WORKDAY(M243,-10)</f>
        <v>46149</v>
      </c>
      <c r="M243" s="85">
        <v>46163</v>
      </c>
      <c r="N243" s="86" cm="1">
        <f t="array" ref="N243">WORKDAY(M243,10)</f>
        <v>46177</v>
      </c>
      <c r="O243" s="87">
        <v>0</v>
      </c>
      <c r="P243" s="88">
        <v>0</v>
      </c>
      <c r="Q243" s="89">
        <v>46136</v>
      </c>
      <c r="R243" s="96">
        <v>46164</v>
      </c>
      <c r="S243" s="86" cm="1">
        <f t="array" ref="S243">WORKDAY(R243,10)</f>
        <v>46178</v>
      </c>
      <c r="T243" s="87">
        <v>0</v>
      </c>
      <c r="U243" s="91" t="s">
        <v>105</v>
      </c>
      <c r="V243" s="92">
        <v>0</v>
      </c>
      <c r="W243" s="93" cm="1">
        <f t="array" ref="W243">WORKDAY(X243,-20)</f>
        <v>46237</v>
      </c>
      <c r="X243" s="90">
        <v>46265</v>
      </c>
      <c r="Y243" s="88">
        <v>0</v>
      </c>
      <c r="Z243" s="93">
        <v>46272</v>
      </c>
      <c r="AA243" s="90">
        <v>46314</v>
      </c>
      <c r="AB243" s="88">
        <v>0</v>
      </c>
      <c r="AC243" s="79" t="s">
        <v>49</v>
      </c>
      <c r="AD243" s="79" t="s">
        <v>49</v>
      </c>
      <c r="AE243" s="90"/>
      <c r="AF243" s="88">
        <v>0</v>
      </c>
      <c r="AG243" s="93" cm="1">
        <f t="array" ref="AG243">WORKDAY(AA243,2)</f>
        <v>46316</v>
      </c>
      <c r="AH243" s="90" cm="1">
        <f t="array" ref="AH243">WORKDAY(AG243,1)</f>
        <v>46317</v>
      </c>
      <c r="AI243" s="86" cm="1">
        <f t="array" ref="AI243">WORKDAY(AH243,1)</f>
        <v>46318</v>
      </c>
      <c r="AJ243" s="145"/>
      <c r="AK243" s="56"/>
    </row>
    <row r="244" spans="1:37" ht="25.5" customHeight="1">
      <c r="A244" s="140" cm="1">
        <f t="array" ref="A244">A243+1</f>
        <v>229</v>
      </c>
      <c r="B244" s="79" t="s">
        <v>471</v>
      </c>
      <c r="C244" s="104">
        <v>2</v>
      </c>
      <c r="D244" s="79" t="s">
        <v>461</v>
      </c>
      <c r="E244" s="79" t="s">
        <v>472</v>
      </c>
      <c r="F244" s="79"/>
      <c r="G244" s="80" t="s">
        <v>463</v>
      </c>
      <c r="H244" s="81">
        <v>40533</v>
      </c>
      <c r="I244" s="79" t="s">
        <v>473</v>
      </c>
      <c r="J244" s="98"/>
      <c r="K244" s="100">
        <v>0</v>
      </c>
      <c r="L244" s="105" cm="1">
        <f t="array" ref="L244">WORKDAY(M244,-10)</f>
        <v>46149</v>
      </c>
      <c r="M244" s="85">
        <v>46163</v>
      </c>
      <c r="N244" s="86" cm="1">
        <f t="array" ref="N244">WORKDAY(M244,10)</f>
        <v>46177</v>
      </c>
      <c r="O244" s="87">
        <v>0</v>
      </c>
      <c r="P244" s="88">
        <v>0</v>
      </c>
      <c r="Q244" s="89">
        <v>46136</v>
      </c>
      <c r="R244" s="96">
        <v>46164</v>
      </c>
      <c r="S244" s="86" cm="1">
        <f t="array" ref="S244">WORKDAY(R244,10)</f>
        <v>46178</v>
      </c>
      <c r="T244" s="87">
        <v>0</v>
      </c>
      <c r="U244" s="91" t="s">
        <v>105</v>
      </c>
      <c r="V244" s="92">
        <v>0</v>
      </c>
      <c r="W244" s="93" cm="1">
        <f t="array" ref="W244">WORKDAY(X244,-20)</f>
        <v>46237</v>
      </c>
      <c r="X244" s="90">
        <v>46265</v>
      </c>
      <c r="Y244" s="88">
        <v>0</v>
      </c>
      <c r="Z244" s="93">
        <v>46272</v>
      </c>
      <c r="AA244" s="90">
        <v>46314</v>
      </c>
      <c r="AB244" s="88">
        <v>0</v>
      </c>
      <c r="AC244" s="79" t="s">
        <v>49</v>
      </c>
      <c r="AD244" s="79" t="s">
        <v>49</v>
      </c>
      <c r="AE244" s="90"/>
      <c r="AF244" s="88">
        <v>0</v>
      </c>
      <c r="AG244" s="93" cm="1">
        <f t="array" ref="AG244">WORKDAY(AA244,2)</f>
        <v>46316</v>
      </c>
      <c r="AH244" s="90" cm="1">
        <f t="array" ref="AH244">WORKDAY(AG244,1)</f>
        <v>46317</v>
      </c>
      <c r="AI244" s="86" cm="1">
        <f t="array" ref="AI244">WORKDAY(AH244,1)</f>
        <v>46318</v>
      </c>
      <c r="AJ244" s="145"/>
      <c r="AK244" s="56"/>
    </row>
    <row r="245" spans="1:37" ht="25.5" customHeight="1">
      <c r="A245" s="140" cm="1">
        <f t="array" ref="A245">A244+1</f>
        <v>230</v>
      </c>
      <c r="B245" s="79" t="s">
        <v>1353</v>
      </c>
      <c r="C245" s="104">
        <v>2</v>
      </c>
      <c r="D245" s="79" t="s">
        <v>1208</v>
      </c>
      <c r="E245" s="79" t="s">
        <v>1354</v>
      </c>
      <c r="F245" s="79" t="s">
        <v>78</v>
      </c>
      <c r="G245" s="80" t="s">
        <v>1267</v>
      </c>
      <c r="H245" s="81">
        <v>67516</v>
      </c>
      <c r="I245" s="109"/>
      <c r="J245" s="110">
        <v>103</v>
      </c>
      <c r="K245" s="99" t="s">
        <v>126</v>
      </c>
      <c r="L245" s="84">
        <v>46099</v>
      </c>
      <c r="M245" s="85">
        <v>46111</v>
      </c>
      <c r="N245" s="86">
        <v>46114</v>
      </c>
      <c r="O245" s="87">
        <v>0</v>
      </c>
      <c r="P245" s="88">
        <v>0</v>
      </c>
      <c r="Q245" s="89">
        <v>46136</v>
      </c>
      <c r="R245" s="96">
        <v>46164</v>
      </c>
      <c r="S245" s="86" cm="1">
        <f t="array" ref="S245">WORKDAY(R245,10)</f>
        <v>46178</v>
      </c>
      <c r="T245" s="87">
        <v>0</v>
      </c>
      <c r="U245" s="91" t="s">
        <v>105</v>
      </c>
      <c r="V245" s="92">
        <v>0</v>
      </c>
      <c r="W245" s="93" cm="1">
        <f t="array" ref="W245">WORKDAY(X245,-20)</f>
        <v>46224</v>
      </c>
      <c r="X245" s="90">
        <v>46252</v>
      </c>
      <c r="Y245" s="88">
        <v>0</v>
      </c>
      <c r="Z245" s="93">
        <v>46255</v>
      </c>
      <c r="AA245" s="90">
        <v>46314</v>
      </c>
      <c r="AB245" s="88">
        <v>0</v>
      </c>
      <c r="AC245" s="79" t="s">
        <v>49</v>
      </c>
      <c r="AD245" s="79" t="s">
        <v>49</v>
      </c>
      <c r="AE245" s="90"/>
      <c r="AF245" s="88">
        <v>0</v>
      </c>
      <c r="AG245" s="93" cm="1">
        <f t="array" ref="AG245">WORKDAY(AA245,2)</f>
        <v>46316</v>
      </c>
      <c r="AH245" s="90" cm="1">
        <f t="array" ref="AH245">WORKDAY(AG245,1)</f>
        <v>46317</v>
      </c>
      <c r="AI245" s="86" cm="1">
        <f t="array" ref="AI245">WORKDAY(AH245,1)</f>
        <v>46318</v>
      </c>
      <c r="AJ245" s="145"/>
      <c r="AK245" s="56"/>
    </row>
    <row r="246" spans="1:37" ht="25.5" customHeight="1">
      <c r="A246" s="140" cm="1">
        <f t="array" ref="A246">A245+1</f>
        <v>231</v>
      </c>
      <c r="B246" s="79" t="s">
        <v>474</v>
      </c>
      <c r="C246" s="104">
        <v>2</v>
      </c>
      <c r="D246" s="79" t="s">
        <v>461</v>
      </c>
      <c r="E246" s="79" t="s">
        <v>475</v>
      </c>
      <c r="F246" s="79"/>
      <c r="G246" s="80" t="s">
        <v>463</v>
      </c>
      <c r="H246" s="81">
        <v>40533</v>
      </c>
      <c r="I246" s="79" t="s">
        <v>476</v>
      </c>
      <c r="J246" s="98"/>
      <c r="K246" s="100">
        <v>0</v>
      </c>
      <c r="L246" s="105" cm="1">
        <f t="array" ref="L246">WORKDAY(M246,-10)</f>
        <v>46149</v>
      </c>
      <c r="M246" s="85">
        <v>46163</v>
      </c>
      <c r="N246" s="86" cm="1">
        <f t="array" ref="N246">WORKDAY(M246,10)</f>
        <v>46177</v>
      </c>
      <c r="O246" s="87">
        <v>0</v>
      </c>
      <c r="P246" s="88">
        <v>0</v>
      </c>
      <c r="Q246" s="89">
        <v>46136</v>
      </c>
      <c r="R246" s="96">
        <v>46164</v>
      </c>
      <c r="S246" s="86" cm="1">
        <f t="array" ref="S246">WORKDAY(R246,10)</f>
        <v>46178</v>
      </c>
      <c r="T246" s="87">
        <v>0</v>
      </c>
      <c r="U246" s="91" t="s">
        <v>105</v>
      </c>
      <c r="V246" s="92">
        <v>0</v>
      </c>
      <c r="W246" s="93" cm="1">
        <f t="array" ref="W246">WORKDAY(X246,-20)</f>
        <v>46238</v>
      </c>
      <c r="X246" s="90">
        <v>46266</v>
      </c>
      <c r="Y246" s="88">
        <v>0</v>
      </c>
      <c r="Z246" s="93">
        <v>46273</v>
      </c>
      <c r="AA246" s="90">
        <v>46315</v>
      </c>
      <c r="AB246" s="88">
        <v>0</v>
      </c>
      <c r="AC246" s="79" t="s">
        <v>49</v>
      </c>
      <c r="AD246" s="79" t="s">
        <v>49</v>
      </c>
      <c r="AE246" s="90"/>
      <c r="AF246" s="88">
        <v>0</v>
      </c>
      <c r="AG246" s="93" cm="1">
        <f t="array" ref="AG246">WORKDAY(AA246,2)</f>
        <v>46317</v>
      </c>
      <c r="AH246" s="90" cm="1">
        <f t="array" ref="AH246">WORKDAY(AG246,1)</f>
        <v>46318</v>
      </c>
      <c r="AI246" s="86" cm="1">
        <f t="array" ref="AI246">WORKDAY(AH246,1)</f>
        <v>46321</v>
      </c>
      <c r="AJ246" s="145"/>
      <c r="AK246" s="56"/>
    </row>
    <row r="247" spans="1:37" ht="25.5" customHeight="1">
      <c r="A247" s="140" cm="1">
        <f t="array" ref="A247">A246+1</f>
        <v>232</v>
      </c>
      <c r="B247" s="79" t="s">
        <v>477</v>
      </c>
      <c r="C247" s="104">
        <v>2</v>
      </c>
      <c r="D247" s="79" t="s">
        <v>461</v>
      </c>
      <c r="E247" s="79" t="s">
        <v>478</v>
      </c>
      <c r="F247" s="79"/>
      <c r="G247" s="80" t="s">
        <v>463</v>
      </c>
      <c r="H247" s="81">
        <v>40533</v>
      </c>
      <c r="I247" s="79" t="s">
        <v>479</v>
      </c>
      <c r="J247" s="98"/>
      <c r="K247" s="100">
        <v>0</v>
      </c>
      <c r="L247" s="105" cm="1">
        <f t="array" ref="L247">WORKDAY(M247,-10)</f>
        <v>46149</v>
      </c>
      <c r="M247" s="85">
        <v>46163</v>
      </c>
      <c r="N247" s="86" cm="1">
        <f t="array" ref="N247">WORKDAY(M247,10)</f>
        <v>46177</v>
      </c>
      <c r="O247" s="87">
        <v>0</v>
      </c>
      <c r="P247" s="88">
        <v>0</v>
      </c>
      <c r="Q247" s="89">
        <v>46136</v>
      </c>
      <c r="R247" s="96">
        <v>46164</v>
      </c>
      <c r="S247" s="86" cm="1">
        <f t="array" ref="S247">WORKDAY(R247,10)</f>
        <v>46178</v>
      </c>
      <c r="T247" s="87">
        <v>0</v>
      </c>
      <c r="U247" s="91" t="s">
        <v>105</v>
      </c>
      <c r="V247" s="92">
        <v>0</v>
      </c>
      <c r="W247" s="93" cm="1">
        <f t="array" ref="W247">WORKDAY(X247,-20)</f>
        <v>46239</v>
      </c>
      <c r="X247" s="90">
        <v>46267</v>
      </c>
      <c r="Y247" s="88">
        <v>0</v>
      </c>
      <c r="Z247" s="93">
        <v>46273</v>
      </c>
      <c r="AA247" s="90">
        <v>46315</v>
      </c>
      <c r="AB247" s="88">
        <v>0</v>
      </c>
      <c r="AC247" s="79" t="s">
        <v>49</v>
      </c>
      <c r="AD247" s="79" t="s">
        <v>49</v>
      </c>
      <c r="AE247" s="90"/>
      <c r="AF247" s="88">
        <v>0</v>
      </c>
      <c r="AG247" s="93" cm="1">
        <f t="array" ref="AG247">WORKDAY(AA247,2)</f>
        <v>46317</v>
      </c>
      <c r="AH247" s="90" cm="1">
        <f t="array" ref="AH247">WORKDAY(AG247,1)</f>
        <v>46318</v>
      </c>
      <c r="AI247" s="86" cm="1">
        <f t="array" ref="AI247">WORKDAY(AH247,1)</f>
        <v>46321</v>
      </c>
      <c r="AJ247" s="145"/>
      <c r="AK247" s="56"/>
    </row>
    <row r="248" spans="1:37" ht="25.5" customHeight="1">
      <c r="A248" s="140" cm="1">
        <f t="array" ref="A248">A247+1</f>
        <v>233</v>
      </c>
      <c r="B248" s="79" t="s">
        <v>1355</v>
      </c>
      <c r="C248" s="104">
        <v>2</v>
      </c>
      <c r="D248" s="79" t="s">
        <v>1208</v>
      </c>
      <c r="E248" s="79" t="s">
        <v>1356</v>
      </c>
      <c r="F248" s="79" t="s">
        <v>78</v>
      </c>
      <c r="G248" s="80" t="s">
        <v>1267</v>
      </c>
      <c r="H248" s="81">
        <v>67516</v>
      </c>
      <c r="I248" s="109"/>
      <c r="J248" s="110">
        <v>104</v>
      </c>
      <c r="K248" s="99" t="s">
        <v>126</v>
      </c>
      <c r="L248" s="84">
        <v>46099</v>
      </c>
      <c r="M248" s="85">
        <v>46111</v>
      </c>
      <c r="N248" s="86">
        <v>46114</v>
      </c>
      <c r="O248" s="87">
        <v>0</v>
      </c>
      <c r="P248" s="88">
        <v>0</v>
      </c>
      <c r="Q248" s="89">
        <v>46136</v>
      </c>
      <c r="R248" s="96">
        <v>46164</v>
      </c>
      <c r="S248" s="86" cm="1">
        <f t="array" ref="S248">WORKDAY(R248,10)</f>
        <v>46178</v>
      </c>
      <c r="T248" s="87">
        <v>0</v>
      </c>
      <c r="U248" s="91" t="s">
        <v>105</v>
      </c>
      <c r="V248" s="92">
        <v>0</v>
      </c>
      <c r="W248" s="93" cm="1">
        <f t="array" ref="W248">WORKDAY(X248,-20)</f>
        <v>46224</v>
      </c>
      <c r="X248" s="90">
        <v>46252</v>
      </c>
      <c r="Y248" s="88">
        <v>0</v>
      </c>
      <c r="Z248" s="93">
        <v>46255</v>
      </c>
      <c r="AA248" s="90">
        <v>46315</v>
      </c>
      <c r="AB248" s="88">
        <v>0</v>
      </c>
      <c r="AC248" s="79" t="s">
        <v>49</v>
      </c>
      <c r="AD248" s="79" t="s">
        <v>49</v>
      </c>
      <c r="AE248" s="90"/>
      <c r="AF248" s="88">
        <v>0</v>
      </c>
      <c r="AG248" s="93" cm="1">
        <f t="array" ref="AG248">WORKDAY(AA248,2)</f>
        <v>46317</v>
      </c>
      <c r="AH248" s="90" cm="1">
        <f t="array" ref="AH248">WORKDAY(AG248,1)</f>
        <v>46318</v>
      </c>
      <c r="AI248" s="86" cm="1">
        <f t="array" ref="AI248">WORKDAY(AH248,1)</f>
        <v>46321</v>
      </c>
      <c r="AJ248" s="145"/>
      <c r="AK248" s="56"/>
    </row>
    <row r="249" spans="1:37" ht="25.5" customHeight="1">
      <c r="A249" s="140" cm="1">
        <f t="array" ref="A249">A248+1</f>
        <v>234</v>
      </c>
      <c r="B249" s="79" t="s">
        <v>480</v>
      </c>
      <c r="C249" s="104">
        <v>2</v>
      </c>
      <c r="D249" s="79" t="s">
        <v>481</v>
      </c>
      <c r="E249" s="79" t="s">
        <v>482</v>
      </c>
      <c r="F249" s="79"/>
      <c r="G249" s="80" t="s">
        <v>483</v>
      </c>
      <c r="H249" s="81">
        <v>42818</v>
      </c>
      <c r="I249" s="79" t="s">
        <v>484</v>
      </c>
      <c r="J249" s="98"/>
      <c r="K249" s="100">
        <v>0</v>
      </c>
      <c r="L249" s="105" cm="1">
        <f t="array" ref="L249">WORKDAY(M249,-10)</f>
        <v>46149</v>
      </c>
      <c r="M249" s="85">
        <v>46163</v>
      </c>
      <c r="N249" s="86" cm="1">
        <f t="array" ref="N249">WORKDAY(M249,10)</f>
        <v>46177</v>
      </c>
      <c r="O249" s="87">
        <v>0</v>
      </c>
      <c r="P249" s="88">
        <v>0</v>
      </c>
      <c r="Q249" s="89">
        <v>46136</v>
      </c>
      <c r="R249" s="96">
        <v>46164</v>
      </c>
      <c r="S249" s="86" cm="1">
        <f t="array" ref="S249">WORKDAY(R249,10)</f>
        <v>46178</v>
      </c>
      <c r="T249" s="87">
        <v>0</v>
      </c>
      <c r="U249" s="91" t="s">
        <v>105</v>
      </c>
      <c r="V249" s="92">
        <v>0</v>
      </c>
      <c r="W249" s="93" cm="1">
        <f t="array" ref="W249">WORKDAY(X249,-20)</f>
        <v>46239</v>
      </c>
      <c r="X249" s="90">
        <v>46267</v>
      </c>
      <c r="Y249" s="88">
        <v>0</v>
      </c>
      <c r="Z249" s="93">
        <v>46274</v>
      </c>
      <c r="AA249" s="90">
        <v>46316</v>
      </c>
      <c r="AB249" s="88">
        <v>0</v>
      </c>
      <c r="AC249" s="79" t="s">
        <v>49</v>
      </c>
      <c r="AD249" s="79" t="s">
        <v>49</v>
      </c>
      <c r="AE249" s="90"/>
      <c r="AF249" s="88">
        <v>0</v>
      </c>
      <c r="AG249" s="93" cm="1">
        <f t="array" ref="AG249">WORKDAY(AA249,2)</f>
        <v>46318</v>
      </c>
      <c r="AH249" s="90" cm="1">
        <f t="array" ref="AH249">WORKDAY(AG249,1)</f>
        <v>46321</v>
      </c>
      <c r="AI249" s="86" cm="1">
        <f t="array" ref="AI249">WORKDAY(AH249,1)</f>
        <v>46322</v>
      </c>
      <c r="AJ249" s="145"/>
      <c r="AK249" s="56"/>
    </row>
    <row r="250" spans="1:37" ht="25.5" customHeight="1">
      <c r="A250" s="140" cm="1">
        <f t="array" ref="A250">A249+1</f>
        <v>235</v>
      </c>
      <c r="B250" s="79" t="s">
        <v>485</v>
      </c>
      <c r="C250" s="104">
        <v>2</v>
      </c>
      <c r="D250" s="79" t="s">
        <v>481</v>
      </c>
      <c r="E250" s="79" t="s">
        <v>486</v>
      </c>
      <c r="F250" s="79"/>
      <c r="G250" s="80" t="s">
        <v>483</v>
      </c>
      <c r="H250" s="81">
        <v>42818</v>
      </c>
      <c r="I250" s="79" t="s">
        <v>487</v>
      </c>
      <c r="J250" s="98"/>
      <c r="K250" s="100">
        <v>0</v>
      </c>
      <c r="L250" s="105" cm="1">
        <f t="array" ref="L250">WORKDAY(M250,-10)</f>
        <v>46149</v>
      </c>
      <c r="M250" s="85">
        <v>46163</v>
      </c>
      <c r="N250" s="86" cm="1">
        <f t="array" ref="N250">WORKDAY(M250,10)</f>
        <v>46177</v>
      </c>
      <c r="O250" s="87">
        <v>0</v>
      </c>
      <c r="P250" s="88">
        <v>0</v>
      </c>
      <c r="Q250" s="89">
        <v>46136</v>
      </c>
      <c r="R250" s="96">
        <v>46164</v>
      </c>
      <c r="S250" s="86" cm="1">
        <f t="array" ref="S250">WORKDAY(R250,10)</f>
        <v>46178</v>
      </c>
      <c r="T250" s="87">
        <v>0</v>
      </c>
      <c r="U250" s="91" t="s">
        <v>105</v>
      </c>
      <c r="V250" s="92">
        <v>0</v>
      </c>
      <c r="W250" s="93" cm="1">
        <f t="array" ref="W250">WORKDAY(X250,-20)</f>
        <v>46240</v>
      </c>
      <c r="X250" s="90">
        <v>46268</v>
      </c>
      <c r="Y250" s="88">
        <v>0</v>
      </c>
      <c r="Z250" s="93">
        <v>46274</v>
      </c>
      <c r="AA250" s="90">
        <v>46316</v>
      </c>
      <c r="AB250" s="88">
        <v>0</v>
      </c>
      <c r="AC250" s="79" t="s">
        <v>49</v>
      </c>
      <c r="AD250" s="79" t="s">
        <v>49</v>
      </c>
      <c r="AE250" s="90"/>
      <c r="AF250" s="88">
        <v>0</v>
      </c>
      <c r="AG250" s="93" cm="1">
        <f t="array" ref="AG250">WORKDAY(AA250,2)</f>
        <v>46318</v>
      </c>
      <c r="AH250" s="90" cm="1">
        <f t="array" ref="AH250">WORKDAY(AG250,1)</f>
        <v>46321</v>
      </c>
      <c r="AI250" s="86" cm="1">
        <f t="array" ref="AI250">WORKDAY(AH250,1)</f>
        <v>46322</v>
      </c>
      <c r="AJ250" s="145"/>
      <c r="AK250" s="56"/>
    </row>
    <row r="251" spans="1:37" ht="25.5" customHeight="1">
      <c r="A251" s="140" cm="1">
        <f t="array" ref="A251">A250+1</f>
        <v>236</v>
      </c>
      <c r="B251" s="79" t="s">
        <v>1357</v>
      </c>
      <c r="C251" s="104">
        <v>2</v>
      </c>
      <c r="D251" s="79" t="s">
        <v>1208</v>
      </c>
      <c r="E251" s="79" t="s">
        <v>1358</v>
      </c>
      <c r="F251" s="79" t="s">
        <v>78</v>
      </c>
      <c r="G251" s="80" t="s">
        <v>1267</v>
      </c>
      <c r="H251" s="81">
        <v>67516</v>
      </c>
      <c r="I251" s="109"/>
      <c r="J251" s="110">
        <v>105</v>
      </c>
      <c r="K251" s="107" t="s">
        <v>1125</v>
      </c>
      <c r="L251" s="105" cm="1">
        <f t="array" ref="L251">WORKDAY(M251,-10)</f>
        <v>46133</v>
      </c>
      <c r="M251" s="85">
        <v>46147</v>
      </c>
      <c r="N251" s="86" cm="1">
        <f t="array" ref="N251">WORKDAY(M251,10)</f>
        <v>46161</v>
      </c>
      <c r="O251" s="87">
        <v>0</v>
      </c>
      <c r="P251" s="88">
        <v>0</v>
      </c>
      <c r="Q251" s="89">
        <v>46136</v>
      </c>
      <c r="R251" s="96">
        <v>46164</v>
      </c>
      <c r="S251" s="86" cm="1">
        <f t="array" ref="S251">WORKDAY(R251,10)</f>
        <v>46178</v>
      </c>
      <c r="T251" s="87">
        <v>0</v>
      </c>
      <c r="U251" s="91" t="s">
        <v>105</v>
      </c>
      <c r="V251" s="92">
        <v>0</v>
      </c>
      <c r="W251" s="93" cm="1">
        <f t="array" ref="W251">WORKDAY(X251,-20)</f>
        <v>46225</v>
      </c>
      <c r="X251" s="90">
        <v>46253</v>
      </c>
      <c r="Y251" s="88">
        <v>0</v>
      </c>
      <c r="Z251" s="93">
        <v>46258</v>
      </c>
      <c r="AA251" s="90">
        <v>46316</v>
      </c>
      <c r="AB251" s="88">
        <v>0</v>
      </c>
      <c r="AC251" s="79" t="s">
        <v>49</v>
      </c>
      <c r="AD251" s="79" t="s">
        <v>49</v>
      </c>
      <c r="AE251" s="90"/>
      <c r="AF251" s="88">
        <v>0</v>
      </c>
      <c r="AG251" s="93" cm="1">
        <f t="array" ref="AG251">WORKDAY(AA251,2)</f>
        <v>46318</v>
      </c>
      <c r="AH251" s="90" cm="1">
        <f t="array" ref="AH251">WORKDAY(AG251,1)</f>
        <v>46321</v>
      </c>
      <c r="AI251" s="86" cm="1">
        <f t="array" ref="AI251">WORKDAY(AH251,1)</f>
        <v>46322</v>
      </c>
      <c r="AJ251" s="145"/>
      <c r="AK251" s="56"/>
    </row>
    <row r="252" spans="1:37" ht="25.5" customHeight="1">
      <c r="A252" s="140" cm="1">
        <f t="array" ref="A252">A251+1</f>
        <v>237</v>
      </c>
      <c r="B252" s="79" t="s">
        <v>1359</v>
      </c>
      <c r="C252" s="104">
        <v>2</v>
      </c>
      <c r="D252" s="79" t="s">
        <v>1169</v>
      </c>
      <c r="E252" s="79" t="s">
        <v>1360</v>
      </c>
      <c r="F252" s="79" t="s">
        <v>78</v>
      </c>
      <c r="G252" s="80" t="s">
        <v>1267</v>
      </c>
      <c r="H252" s="81">
        <v>67516</v>
      </c>
      <c r="I252" s="109"/>
      <c r="J252" s="110">
        <v>106</v>
      </c>
      <c r="K252" s="100">
        <v>0.6</v>
      </c>
      <c r="L252" s="84">
        <v>46099</v>
      </c>
      <c r="M252" s="85">
        <v>46120</v>
      </c>
      <c r="N252" s="86" cm="1">
        <f t="array" ref="N252">WORKDAY(M252,10)</f>
        <v>46134</v>
      </c>
      <c r="O252" s="87">
        <v>0</v>
      </c>
      <c r="P252" s="88">
        <v>0</v>
      </c>
      <c r="Q252" s="89">
        <v>46136</v>
      </c>
      <c r="R252" s="96">
        <v>46164</v>
      </c>
      <c r="S252" s="86" cm="1">
        <f t="array" ref="S252">WORKDAY(R252,10)</f>
        <v>46178</v>
      </c>
      <c r="T252" s="87">
        <v>0</v>
      </c>
      <c r="U252" s="91" t="s">
        <v>105</v>
      </c>
      <c r="V252" s="92">
        <v>0</v>
      </c>
      <c r="W252" s="93" cm="1">
        <f t="array" ref="W252">WORKDAY(X252,-20)</f>
        <v>46226</v>
      </c>
      <c r="X252" s="90">
        <v>46254</v>
      </c>
      <c r="Y252" s="88">
        <v>0</v>
      </c>
      <c r="Z252" s="93">
        <v>46259</v>
      </c>
      <c r="AA252" s="90">
        <v>46317</v>
      </c>
      <c r="AB252" s="88">
        <v>0</v>
      </c>
      <c r="AC252" s="79" t="s">
        <v>49</v>
      </c>
      <c r="AD252" s="79" t="s">
        <v>49</v>
      </c>
      <c r="AE252" s="90"/>
      <c r="AF252" s="88">
        <v>0</v>
      </c>
      <c r="AG252" s="93" cm="1">
        <f t="array" ref="AG252">WORKDAY(AA252,2)</f>
        <v>46321</v>
      </c>
      <c r="AH252" s="90" cm="1">
        <f t="array" ref="AH252">WORKDAY(AG252,1)</f>
        <v>46322</v>
      </c>
      <c r="AI252" s="86" cm="1">
        <f t="array" ref="AI252">WORKDAY(AH252,1)</f>
        <v>46323</v>
      </c>
      <c r="AJ252" s="145"/>
      <c r="AK252" s="56"/>
    </row>
    <row r="253" spans="1:37" ht="25.5" customHeight="1">
      <c r="A253" s="140" cm="1">
        <f t="array" ref="A253">A252+1</f>
        <v>238</v>
      </c>
      <c r="B253" s="79" t="s">
        <v>488</v>
      </c>
      <c r="C253" s="104">
        <v>2</v>
      </c>
      <c r="D253" s="79" t="s">
        <v>481</v>
      </c>
      <c r="E253" s="79" t="s">
        <v>489</v>
      </c>
      <c r="F253" s="79"/>
      <c r="G253" s="80" t="s">
        <v>483</v>
      </c>
      <c r="H253" s="81">
        <v>42818</v>
      </c>
      <c r="I253" s="79" t="s">
        <v>490</v>
      </c>
      <c r="J253" s="98"/>
      <c r="K253" s="100">
        <v>0</v>
      </c>
      <c r="L253" s="105" cm="1">
        <f t="array" ref="L253">WORKDAY(M253,-10)</f>
        <v>46149</v>
      </c>
      <c r="M253" s="85">
        <v>46163</v>
      </c>
      <c r="N253" s="86" cm="1">
        <f t="array" ref="N253">WORKDAY(M253,10)</f>
        <v>46177</v>
      </c>
      <c r="O253" s="87">
        <v>0</v>
      </c>
      <c r="P253" s="88">
        <v>0</v>
      </c>
      <c r="Q253" s="89">
        <v>46136</v>
      </c>
      <c r="R253" s="96">
        <v>46164</v>
      </c>
      <c r="S253" s="86" cm="1">
        <f t="array" ref="S253">WORKDAY(R253,10)</f>
        <v>46178</v>
      </c>
      <c r="T253" s="87">
        <v>0</v>
      </c>
      <c r="U253" s="91" t="s">
        <v>105</v>
      </c>
      <c r="V253" s="92">
        <v>0</v>
      </c>
      <c r="W253" s="93" cm="1">
        <f t="array" ref="W253">WORKDAY(X253,-20)</f>
        <v>46241</v>
      </c>
      <c r="X253" s="90">
        <v>46269</v>
      </c>
      <c r="Y253" s="88">
        <v>0</v>
      </c>
      <c r="Z253" s="93">
        <v>46276</v>
      </c>
      <c r="AA253" s="90">
        <v>46318</v>
      </c>
      <c r="AB253" s="88">
        <v>0</v>
      </c>
      <c r="AC253" s="79" t="s">
        <v>49</v>
      </c>
      <c r="AD253" s="79" t="s">
        <v>49</v>
      </c>
      <c r="AE253" s="90"/>
      <c r="AF253" s="88">
        <v>0</v>
      </c>
      <c r="AG253" s="93" cm="1">
        <f t="array" ref="AG253">WORKDAY(AA253,2)</f>
        <v>46322</v>
      </c>
      <c r="AH253" s="90" cm="1">
        <f t="array" ref="AH253">WORKDAY(AG253,1)</f>
        <v>46323</v>
      </c>
      <c r="AI253" s="86" cm="1">
        <f t="array" ref="AI253">WORKDAY(AH253,1)</f>
        <v>46324</v>
      </c>
      <c r="AJ253" s="145"/>
      <c r="AK253" s="56"/>
    </row>
    <row r="254" spans="1:37" ht="25.5" customHeight="1">
      <c r="A254" s="140" cm="1">
        <f t="array" ref="A254">A253+1</f>
        <v>239</v>
      </c>
      <c r="B254" s="79" t="s">
        <v>491</v>
      </c>
      <c r="C254" s="104">
        <v>2</v>
      </c>
      <c r="D254" s="79" t="s">
        <v>481</v>
      </c>
      <c r="E254" s="79" t="s">
        <v>492</v>
      </c>
      <c r="F254" s="79"/>
      <c r="G254" s="80" t="s">
        <v>483</v>
      </c>
      <c r="H254" s="81">
        <v>42818</v>
      </c>
      <c r="I254" s="79" t="s">
        <v>493</v>
      </c>
      <c r="J254" s="98"/>
      <c r="K254" s="100">
        <v>0</v>
      </c>
      <c r="L254" s="105" cm="1">
        <f t="array" ref="L254">WORKDAY(M254,-10)</f>
        <v>46149</v>
      </c>
      <c r="M254" s="85">
        <v>46163</v>
      </c>
      <c r="N254" s="86" cm="1">
        <f t="array" ref="N254">WORKDAY(M254,10)</f>
        <v>46177</v>
      </c>
      <c r="O254" s="87">
        <v>0</v>
      </c>
      <c r="P254" s="88">
        <v>0</v>
      </c>
      <c r="Q254" s="89">
        <v>46136</v>
      </c>
      <c r="R254" s="96">
        <v>46164</v>
      </c>
      <c r="S254" s="86" cm="1">
        <f t="array" ref="S254">WORKDAY(R254,10)</f>
        <v>46178</v>
      </c>
      <c r="T254" s="87">
        <v>0</v>
      </c>
      <c r="U254" s="91" t="s">
        <v>105</v>
      </c>
      <c r="V254" s="92">
        <v>0</v>
      </c>
      <c r="W254" s="93" cm="1">
        <f t="array" ref="W254">WORKDAY(X254,-20)</f>
        <v>46241</v>
      </c>
      <c r="X254" s="90">
        <v>46269</v>
      </c>
      <c r="Y254" s="88">
        <v>0</v>
      </c>
      <c r="Z254" s="93">
        <v>46276</v>
      </c>
      <c r="AA254" s="90">
        <v>46318</v>
      </c>
      <c r="AB254" s="88">
        <v>0</v>
      </c>
      <c r="AC254" s="79" t="s">
        <v>49</v>
      </c>
      <c r="AD254" s="79" t="s">
        <v>49</v>
      </c>
      <c r="AE254" s="90"/>
      <c r="AF254" s="88">
        <v>0</v>
      </c>
      <c r="AG254" s="93" cm="1">
        <f t="array" ref="AG254">WORKDAY(AA254,2)</f>
        <v>46322</v>
      </c>
      <c r="AH254" s="90" cm="1">
        <f t="array" ref="AH254">WORKDAY(AG254,1)</f>
        <v>46323</v>
      </c>
      <c r="AI254" s="86" cm="1">
        <f t="array" ref="AI254">WORKDAY(AH254,1)</f>
        <v>46324</v>
      </c>
      <c r="AJ254" s="145"/>
      <c r="AK254" s="56"/>
    </row>
    <row r="255" spans="1:37" ht="25.5" customHeight="1">
      <c r="A255" s="140" cm="1">
        <f t="array" ref="A255">A254+1</f>
        <v>240</v>
      </c>
      <c r="B255" s="79" t="s">
        <v>1361</v>
      </c>
      <c r="C255" s="104">
        <v>2</v>
      </c>
      <c r="D255" s="79" t="s">
        <v>1120</v>
      </c>
      <c r="E255" s="79" t="s">
        <v>1362</v>
      </c>
      <c r="F255" s="79" t="s">
        <v>78</v>
      </c>
      <c r="G255" s="80" t="s">
        <v>1267</v>
      </c>
      <c r="H255" s="81">
        <v>67516</v>
      </c>
      <c r="I255" s="109"/>
      <c r="J255" s="110">
        <v>107</v>
      </c>
      <c r="K255" s="107" t="s">
        <v>1125</v>
      </c>
      <c r="L255" s="84">
        <v>46099</v>
      </c>
      <c r="M255" s="85">
        <v>46115</v>
      </c>
      <c r="N255" s="86" cm="1">
        <f t="array" ref="N255">WORKDAY(M255,10)</f>
        <v>46129</v>
      </c>
      <c r="O255" s="87">
        <v>0</v>
      </c>
      <c r="P255" s="88">
        <v>0</v>
      </c>
      <c r="Q255" s="89">
        <v>46136</v>
      </c>
      <c r="R255" s="96">
        <v>46164</v>
      </c>
      <c r="S255" s="86" cm="1">
        <f t="array" ref="S255">WORKDAY(R255,10)</f>
        <v>46178</v>
      </c>
      <c r="T255" s="87">
        <v>0</v>
      </c>
      <c r="U255" s="91" t="s">
        <v>105</v>
      </c>
      <c r="V255" s="92">
        <v>0</v>
      </c>
      <c r="W255" s="93" cm="1">
        <f t="array" ref="W255">WORKDAY(X255,-20)</f>
        <v>46226</v>
      </c>
      <c r="X255" s="90">
        <v>46254</v>
      </c>
      <c r="Y255" s="88">
        <v>0</v>
      </c>
      <c r="Z255" s="93">
        <v>46259</v>
      </c>
      <c r="AA255" s="90">
        <v>46318</v>
      </c>
      <c r="AB255" s="88">
        <v>0</v>
      </c>
      <c r="AC255" s="79" t="s">
        <v>49</v>
      </c>
      <c r="AD255" s="79" t="s">
        <v>49</v>
      </c>
      <c r="AE255" s="90"/>
      <c r="AF255" s="88">
        <v>0</v>
      </c>
      <c r="AG255" s="93" cm="1">
        <f t="array" ref="AG255">WORKDAY(AA255,2)</f>
        <v>46322</v>
      </c>
      <c r="AH255" s="90" cm="1">
        <f t="array" ref="AH255">WORKDAY(AG255,1)</f>
        <v>46323</v>
      </c>
      <c r="AI255" s="86" cm="1">
        <f t="array" ref="AI255">WORKDAY(AH255,1)</f>
        <v>46324</v>
      </c>
      <c r="AJ255" s="145"/>
      <c r="AK255" s="56"/>
    </row>
    <row r="256" spans="1:37" ht="25.5" customHeight="1">
      <c r="A256" s="140" cm="1">
        <f t="array" ref="A256">A255+1</f>
        <v>241</v>
      </c>
      <c r="B256" s="79" t="s">
        <v>494</v>
      </c>
      <c r="C256" s="104">
        <v>2</v>
      </c>
      <c r="D256" s="79" t="s">
        <v>481</v>
      </c>
      <c r="E256" s="79" t="s">
        <v>495</v>
      </c>
      <c r="F256" s="79"/>
      <c r="G256" s="80" t="s">
        <v>483</v>
      </c>
      <c r="H256" s="81">
        <v>42818</v>
      </c>
      <c r="I256" s="79" t="s">
        <v>496</v>
      </c>
      <c r="J256" s="98"/>
      <c r="K256" s="100">
        <v>0</v>
      </c>
      <c r="L256" s="105" cm="1">
        <f t="array" ref="L256">WORKDAY(M256,-10)</f>
        <v>46149</v>
      </c>
      <c r="M256" s="85">
        <v>46163</v>
      </c>
      <c r="N256" s="86" cm="1">
        <f t="array" ref="N256">WORKDAY(M256,10)</f>
        <v>46177</v>
      </c>
      <c r="O256" s="87">
        <v>0</v>
      </c>
      <c r="P256" s="88">
        <v>0</v>
      </c>
      <c r="Q256" s="89">
        <v>46136</v>
      </c>
      <c r="R256" s="96">
        <v>46164</v>
      </c>
      <c r="S256" s="86" cm="1">
        <f t="array" ref="S256">WORKDAY(R256,10)</f>
        <v>46178</v>
      </c>
      <c r="T256" s="87">
        <v>0</v>
      </c>
      <c r="U256" s="91" t="s">
        <v>105</v>
      </c>
      <c r="V256" s="92">
        <v>0</v>
      </c>
      <c r="W256" s="93" cm="1">
        <f t="array" ref="W256">WORKDAY(X256,-20)</f>
        <v>46244</v>
      </c>
      <c r="X256" s="90">
        <v>46272</v>
      </c>
      <c r="Y256" s="88">
        <v>0</v>
      </c>
      <c r="Z256" s="93">
        <v>46279</v>
      </c>
      <c r="AA256" s="90">
        <v>46321</v>
      </c>
      <c r="AB256" s="88">
        <v>0</v>
      </c>
      <c r="AC256" s="79" t="s">
        <v>49</v>
      </c>
      <c r="AD256" s="79" t="s">
        <v>49</v>
      </c>
      <c r="AE256" s="90"/>
      <c r="AF256" s="88">
        <v>0</v>
      </c>
      <c r="AG256" s="93" cm="1">
        <f t="array" ref="AG256">WORKDAY(AA256,2)</f>
        <v>46323</v>
      </c>
      <c r="AH256" s="90" cm="1">
        <f t="array" ref="AH256">WORKDAY(AG256,1)</f>
        <v>46324</v>
      </c>
      <c r="AI256" s="86" cm="1">
        <f t="array" ref="AI256">WORKDAY(AH256,1)</f>
        <v>46325</v>
      </c>
      <c r="AJ256" s="145"/>
      <c r="AK256" s="56"/>
    </row>
    <row r="257" spans="1:37" ht="25.5" customHeight="1">
      <c r="A257" s="140" cm="1">
        <f t="array" ref="A257">A256+1</f>
        <v>242</v>
      </c>
      <c r="B257" s="79" t="s">
        <v>497</v>
      </c>
      <c r="C257" s="104">
        <v>2</v>
      </c>
      <c r="D257" s="79" t="s">
        <v>481</v>
      </c>
      <c r="E257" s="79" t="s">
        <v>498</v>
      </c>
      <c r="F257" s="79"/>
      <c r="G257" s="80" t="s">
        <v>483</v>
      </c>
      <c r="H257" s="81">
        <v>42818</v>
      </c>
      <c r="I257" s="79" t="s">
        <v>499</v>
      </c>
      <c r="J257" s="98"/>
      <c r="K257" s="100">
        <v>0</v>
      </c>
      <c r="L257" s="105" cm="1">
        <f t="array" ref="L257">WORKDAY(M257,-10)</f>
        <v>46149</v>
      </c>
      <c r="M257" s="85">
        <v>46163</v>
      </c>
      <c r="N257" s="86" cm="1">
        <f t="array" ref="N257">WORKDAY(M257,10)</f>
        <v>46177</v>
      </c>
      <c r="O257" s="87">
        <v>0</v>
      </c>
      <c r="P257" s="88">
        <v>0</v>
      </c>
      <c r="Q257" s="89">
        <v>46136</v>
      </c>
      <c r="R257" s="96">
        <v>46164</v>
      </c>
      <c r="S257" s="86" cm="1">
        <f t="array" ref="S257">WORKDAY(R257,10)</f>
        <v>46178</v>
      </c>
      <c r="T257" s="87">
        <v>0</v>
      </c>
      <c r="U257" s="91" t="s">
        <v>105</v>
      </c>
      <c r="V257" s="92">
        <v>0</v>
      </c>
      <c r="W257" s="93" cm="1">
        <f t="array" ref="W257">WORKDAY(X257,-20)</f>
        <v>46245</v>
      </c>
      <c r="X257" s="90">
        <v>46273</v>
      </c>
      <c r="Y257" s="88">
        <v>0</v>
      </c>
      <c r="Z257" s="93">
        <v>46279</v>
      </c>
      <c r="AA257" s="90">
        <v>46321</v>
      </c>
      <c r="AB257" s="88">
        <v>0</v>
      </c>
      <c r="AC257" s="79" t="s">
        <v>49</v>
      </c>
      <c r="AD257" s="79" t="s">
        <v>49</v>
      </c>
      <c r="AE257" s="90"/>
      <c r="AF257" s="88">
        <v>0</v>
      </c>
      <c r="AG257" s="93" cm="1">
        <f t="array" ref="AG257">WORKDAY(AA257,2)</f>
        <v>46323</v>
      </c>
      <c r="AH257" s="90" cm="1">
        <f t="array" ref="AH257">WORKDAY(AG257,1)</f>
        <v>46324</v>
      </c>
      <c r="AI257" s="86" cm="1">
        <f t="array" ref="AI257">WORKDAY(AH257,1)</f>
        <v>46325</v>
      </c>
      <c r="AJ257" s="145"/>
      <c r="AK257" s="56"/>
    </row>
    <row r="258" spans="1:37" ht="25.5" customHeight="1">
      <c r="A258" s="140" cm="1">
        <f t="array" ref="A258">A257+1</f>
        <v>243</v>
      </c>
      <c r="B258" s="79" t="s">
        <v>1363</v>
      </c>
      <c r="C258" s="104">
        <v>2</v>
      </c>
      <c r="D258" s="79" t="s">
        <v>1120</v>
      </c>
      <c r="E258" s="79" t="s">
        <v>1364</v>
      </c>
      <c r="F258" s="79" t="s">
        <v>78</v>
      </c>
      <c r="G258" s="80" t="s">
        <v>1267</v>
      </c>
      <c r="H258" s="81">
        <v>67516</v>
      </c>
      <c r="I258" s="109"/>
      <c r="J258" s="110">
        <v>108</v>
      </c>
      <c r="K258" s="107" t="s">
        <v>1125</v>
      </c>
      <c r="L258" s="84">
        <v>46099</v>
      </c>
      <c r="M258" s="85">
        <v>46115</v>
      </c>
      <c r="N258" s="86" cm="1">
        <f t="array" ref="N258">WORKDAY(M258,10)</f>
        <v>46129</v>
      </c>
      <c r="O258" s="87">
        <v>0</v>
      </c>
      <c r="P258" s="88">
        <v>0</v>
      </c>
      <c r="Q258" s="89">
        <v>46136</v>
      </c>
      <c r="R258" s="96">
        <v>46164</v>
      </c>
      <c r="S258" s="86" cm="1">
        <f t="array" ref="S258">WORKDAY(R258,10)</f>
        <v>46178</v>
      </c>
      <c r="T258" s="87">
        <v>0</v>
      </c>
      <c r="U258" s="91" t="s">
        <v>105</v>
      </c>
      <c r="V258" s="92">
        <v>0</v>
      </c>
      <c r="W258" s="93" cm="1">
        <f t="array" ref="W258">WORKDAY(X258,-20)</f>
        <v>46227</v>
      </c>
      <c r="X258" s="90">
        <v>46255</v>
      </c>
      <c r="Y258" s="88">
        <v>0</v>
      </c>
      <c r="Z258" s="93">
        <v>46260</v>
      </c>
      <c r="AA258" s="90">
        <v>46321</v>
      </c>
      <c r="AB258" s="88">
        <v>0</v>
      </c>
      <c r="AC258" s="79" t="s">
        <v>49</v>
      </c>
      <c r="AD258" s="79" t="s">
        <v>49</v>
      </c>
      <c r="AE258" s="90"/>
      <c r="AF258" s="88">
        <v>0</v>
      </c>
      <c r="AG258" s="93" cm="1">
        <f t="array" ref="AG258">WORKDAY(AA258,2)</f>
        <v>46323</v>
      </c>
      <c r="AH258" s="90" cm="1">
        <f t="array" ref="AH258">WORKDAY(AG258,1)</f>
        <v>46324</v>
      </c>
      <c r="AI258" s="86" cm="1">
        <f t="array" ref="AI258">WORKDAY(AH258,1)</f>
        <v>46325</v>
      </c>
      <c r="AJ258" s="145"/>
      <c r="AK258" s="56"/>
    </row>
    <row r="259" spans="1:37" ht="25.5" customHeight="1">
      <c r="A259" s="140" cm="1">
        <f t="array" ref="A259">A258+1</f>
        <v>244</v>
      </c>
      <c r="B259" s="79" t="s">
        <v>500</v>
      </c>
      <c r="C259" s="104">
        <v>2</v>
      </c>
      <c r="D259" s="79" t="s">
        <v>501</v>
      </c>
      <c r="E259" s="79" t="s">
        <v>502</v>
      </c>
      <c r="F259" s="79"/>
      <c r="G259" s="80" t="s">
        <v>503</v>
      </c>
      <c r="H259" s="81">
        <v>41858</v>
      </c>
      <c r="I259" s="79" t="s">
        <v>504</v>
      </c>
      <c r="J259" s="98"/>
      <c r="K259" s="100">
        <v>0</v>
      </c>
      <c r="L259" s="105" cm="1">
        <f t="array" ref="L259">WORKDAY(M259,-10)</f>
        <v>46149</v>
      </c>
      <c r="M259" s="85">
        <v>46163</v>
      </c>
      <c r="N259" s="86" cm="1">
        <f t="array" ref="N259">WORKDAY(M259,10)</f>
        <v>46177</v>
      </c>
      <c r="O259" s="87">
        <v>0</v>
      </c>
      <c r="P259" s="88">
        <v>0</v>
      </c>
      <c r="Q259" s="89">
        <v>46136</v>
      </c>
      <c r="R259" s="96">
        <v>46164</v>
      </c>
      <c r="S259" s="86" cm="1">
        <f t="array" ref="S259">WORKDAY(R259,10)</f>
        <v>46178</v>
      </c>
      <c r="T259" s="87">
        <v>0</v>
      </c>
      <c r="U259" s="91" t="s">
        <v>105</v>
      </c>
      <c r="V259" s="92">
        <v>0</v>
      </c>
      <c r="W259" s="93" cm="1">
        <f t="array" ref="W259">WORKDAY(X259,-20)</f>
        <v>46245</v>
      </c>
      <c r="X259" s="80" t="s">
        <v>505</v>
      </c>
      <c r="Y259" s="88">
        <v>0</v>
      </c>
      <c r="Z259" s="93">
        <v>46280</v>
      </c>
      <c r="AA259" s="90">
        <v>46322</v>
      </c>
      <c r="AB259" s="88">
        <v>0</v>
      </c>
      <c r="AC259" s="79" t="s">
        <v>49</v>
      </c>
      <c r="AD259" s="79" t="s">
        <v>49</v>
      </c>
      <c r="AE259" s="90"/>
      <c r="AF259" s="88">
        <v>0</v>
      </c>
      <c r="AG259" s="93" cm="1">
        <f t="array" ref="AG259">WORKDAY(AA259,2)</f>
        <v>46324</v>
      </c>
      <c r="AH259" s="90" cm="1">
        <f t="array" ref="AH259">WORKDAY(AG259,1)</f>
        <v>46325</v>
      </c>
      <c r="AI259" s="86" cm="1">
        <f t="array" ref="AI259">WORKDAY(AH259,1)</f>
        <v>46328</v>
      </c>
      <c r="AJ259" s="145"/>
      <c r="AK259" s="56"/>
    </row>
    <row r="260" spans="1:37" ht="25.5" customHeight="1">
      <c r="A260" s="140" cm="1">
        <f t="array" ref="A260">A259+1</f>
        <v>245</v>
      </c>
      <c r="B260" s="79" t="s">
        <v>506</v>
      </c>
      <c r="C260" s="104">
        <v>2</v>
      </c>
      <c r="D260" s="79" t="s">
        <v>501</v>
      </c>
      <c r="E260" s="79" t="s">
        <v>507</v>
      </c>
      <c r="F260" s="79"/>
      <c r="G260" s="80" t="s">
        <v>503</v>
      </c>
      <c r="H260" s="81">
        <v>41858</v>
      </c>
      <c r="I260" s="79" t="s">
        <v>508</v>
      </c>
      <c r="J260" s="98"/>
      <c r="K260" s="100">
        <v>0</v>
      </c>
      <c r="L260" s="105" cm="1">
        <f t="array" ref="L260">WORKDAY(M260,-10)</f>
        <v>46149</v>
      </c>
      <c r="M260" s="85">
        <v>46163</v>
      </c>
      <c r="N260" s="86" cm="1">
        <f t="array" ref="N260">WORKDAY(M260,10)</f>
        <v>46177</v>
      </c>
      <c r="O260" s="87">
        <v>0</v>
      </c>
      <c r="P260" s="88">
        <v>0</v>
      </c>
      <c r="Q260" s="89">
        <v>46136</v>
      </c>
      <c r="R260" s="96">
        <v>46164</v>
      </c>
      <c r="S260" s="86" cm="1">
        <f t="array" ref="S260">WORKDAY(R260,10)</f>
        <v>46178</v>
      </c>
      <c r="T260" s="87">
        <v>0</v>
      </c>
      <c r="U260" s="91" t="s">
        <v>105</v>
      </c>
      <c r="V260" s="92">
        <v>0</v>
      </c>
      <c r="W260" s="93" cm="1">
        <f t="array" ref="W260">WORKDAY(X260,-20)</f>
        <v>46246</v>
      </c>
      <c r="X260" s="80" t="s">
        <v>509</v>
      </c>
      <c r="Y260" s="88">
        <v>0</v>
      </c>
      <c r="Z260" s="93">
        <v>46280</v>
      </c>
      <c r="AA260" s="90">
        <v>46322</v>
      </c>
      <c r="AB260" s="88">
        <v>0</v>
      </c>
      <c r="AC260" s="79" t="s">
        <v>49</v>
      </c>
      <c r="AD260" s="79" t="s">
        <v>49</v>
      </c>
      <c r="AE260" s="90"/>
      <c r="AF260" s="88">
        <v>0</v>
      </c>
      <c r="AG260" s="93" cm="1">
        <f t="array" ref="AG260">WORKDAY(AA260,2)</f>
        <v>46324</v>
      </c>
      <c r="AH260" s="90" cm="1">
        <f t="array" ref="AH260">WORKDAY(AG260,1)</f>
        <v>46325</v>
      </c>
      <c r="AI260" s="86" cm="1">
        <f t="array" ref="AI260">WORKDAY(AH260,1)</f>
        <v>46328</v>
      </c>
      <c r="AJ260" s="145"/>
      <c r="AK260" s="56"/>
    </row>
    <row r="261" spans="1:37" ht="25.5" customHeight="1">
      <c r="A261" s="140" cm="1">
        <f t="array" ref="A261">A260+1</f>
        <v>246</v>
      </c>
      <c r="B261" s="79" t="s">
        <v>1365</v>
      </c>
      <c r="C261" s="104">
        <v>2</v>
      </c>
      <c r="D261" s="79" t="s">
        <v>1120</v>
      </c>
      <c r="E261" s="79" t="s">
        <v>1366</v>
      </c>
      <c r="F261" s="79" t="s">
        <v>78</v>
      </c>
      <c r="G261" s="80" t="s">
        <v>1267</v>
      </c>
      <c r="H261" s="81">
        <v>67516</v>
      </c>
      <c r="I261" s="109"/>
      <c r="J261" s="110">
        <v>109</v>
      </c>
      <c r="K261" s="107" t="s">
        <v>1125</v>
      </c>
      <c r="L261" s="84">
        <v>46099</v>
      </c>
      <c r="M261" s="85">
        <v>46115</v>
      </c>
      <c r="N261" s="86" cm="1">
        <f t="array" ref="N261">WORKDAY(M261,10)</f>
        <v>46129</v>
      </c>
      <c r="O261" s="87">
        <v>0</v>
      </c>
      <c r="P261" s="88">
        <v>0</v>
      </c>
      <c r="Q261" s="89">
        <v>46136</v>
      </c>
      <c r="R261" s="96">
        <v>46164</v>
      </c>
      <c r="S261" s="86" cm="1">
        <f t="array" ref="S261">WORKDAY(R261,10)</f>
        <v>46178</v>
      </c>
      <c r="T261" s="87">
        <v>0</v>
      </c>
      <c r="U261" s="91" t="s">
        <v>105</v>
      </c>
      <c r="V261" s="92">
        <v>0</v>
      </c>
      <c r="W261" s="93" cm="1">
        <f t="array" ref="W261">WORKDAY(X261,-20)</f>
        <v>46230</v>
      </c>
      <c r="X261" s="90">
        <v>46258</v>
      </c>
      <c r="Y261" s="88">
        <v>0</v>
      </c>
      <c r="Z261" s="93">
        <v>46261</v>
      </c>
      <c r="AA261" s="90">
        <v>46322</v>
      </c>
      <c r="AB261" s="88">
        <v>0</v>
      </c>
      <c r="AC261" s="79" t="s">
        <v>49</v>
      </c>
      <c r="AD261" s="79" t="s">
        <v>49</v>
      </c>
      <c r="AE261" s="90"/>
      <c r="AF261" s="88">
        <v>0</v>
      </c>
      <c r="AG261" s="93" cm="1">
        <f t="array" ref="AG261">WORKDAY(AA261,2)</f>
        <v>46324</v>
      </c>
      <c r="AH261" s="90" cm="1">
        <f t="array" ref="AH261">WORKDAY(AG261,1)</f>
        <v>46325</v>
      </c>
      <c r="AI261" s="86" cm="1">
        <f t="array" ref="AI261">WORKDAY(AH261,1)</f>
        <v>46328</v>
      </c>
      <c r="AJ261" s="145"/>
      <c r="AK261" s="56"/>
    </row>
    <row r="262" spans="1:37" ht="25.5" customHeight="1">
      <c r="A262" s="140" cm="1">
        <f t="array" ref="A262">A261+1</f>
        <v>247</v>
      </c>
      <c r="B262" s="79" t="s">
        <v>510</v>
      </c>
      <c r="C262" s="104">
        <v>2</v>
      </c>
      <c r="D262" s="79" t="s">
        <v>501</v>
      </c>
      <c r="E262" s="79" t="s">
        <v>511</v>
      </c>
      <c r="F262" s="79"/>
      <c r="G262" s="80" t="s">
        <v>503</v>
      </c>
      <c r="H262" s="81">
        <v>41858</v>
      </c>
      <c r="I262" s="79" t="s">
        <v>512</v>
      </c>
      <c r="J262" s="98"/>
      <c r="K262" s="100">
        <v>0</v>
      </c>
      <c r="L262" s="105" cm="1">
        <f t="array" ref="L262">WORKDAY(M262,-10)</f>
        <v>46149</v>
      </c>
      <c r="M262" s="85">
        <v>46163</v>
      </c>
      <c r="N262" s="86" cm="1">
        <f t="array" ref="N262">WORKDAY(M262,10)</f>
        <v>46177</v>
      </c>
      <c r="O262" s="87">
        <v>0</v>
      </c>
      <c r="P262" s="88">
        <v>0</v>
      </c>
      <c r="Q262" s="89">
        <v>46136</v>
      </c>
      <c r="R262" s="96">
        <v>46164</v>
      </c>
      <c r="S262" s="86" cm="1">
        <f t="array" ref="S262">WORKDAY(R262,10)</f>
        <v>46178</v>
      </c>
      <c r="T262" s="87">
        <v>0</v>
      </c>
      <c r="U262" s="91" t="s">
        <v>105</v>
      </c>
      <c r="V262" s="92">
        <v>0</v>
      </c>
      <c r="W262" s="93" cm="1">
        <f t="array" ref="W262">WORKDAY(X262,-20)</f>
        <v>46247</v>
      </c>
      <c r="X262" s="80" t="s">
        <v>513</v>
      </c>
      <c r="Y262" s="88">
        <v>0</v>
      </c>
      <c r="Z262" s="93">
        <v>46281</v>
      </c>
      <c r="AA262" s="90">
        <v>46323</v>
      </c>
      <c r="AB262" s="88">
        <v>0</v>
      </c>
      <c r="AC262" s="79" t="s">
        <v>49</v>
      </c>
      <c r="AD262" s="79" t="s">
        <v>49</v>
      </c>
      <c r="AE262" s="90"/>
      <c r="AF262" s="88">
        <v>0</v>
      </c>
      <c r="AG262" s="93" cm="1">
        <f t="array" ref="AG262">WORKDAY(AA262,2)</f>
        <v>46325</v>
      </c>
      <c r="AH262" s="90" cm="1">
        <f t="array" ref="AH262">WORKDAY(AG262,1)</f>
        <v>46328</v>
      </c>
      <c r="AI262" s="86" cm="1">
        <f t="array" ref="AI262">WORKDAY(AH262,1)</f>
        <v>46329</v>
      </c>
      <c r="AJ262" s="145"/>
      <c r="AK262" s="56"/>
    </row>
    <row r="263" spans="1:37" ht="25.5" customHeight="1">
      <c r="A263" s="140" cm="1">
        <f t="array" ref="A263">A262+1</f>
        <v>248</v>
      </c>
      <c r="B263" s="79" t="s">
        <v>514</v>
      </c>
      <c r="C263" s="104">
        <v>2</v>
      </c>
      <c r="D263" s="79" t="s">
        <v>501</v>
      </c>
      <c r="E263" s="79" t="s">
        <v>515</v>
      </c>
      <c r="F263" s="79"/>
      <c r="G263" s="80" t="s">
        <v>503</v>
      </c>
      <c r="H263" s="81">
        <v>41858</v>
      </c>
      <c r="I263" s="79" t="s">
        <v>516</v>
      </c>
      <c r="J263" s="98"/>
      <c r="K263" s="100">
        <v>0</v>
      </c>
      <c r="L263" s="105" cm="1">
        <f t="array" ref="L263">WORKDAY(M263,-10)</f>
        <v>46149</v>
      </c>
      <c r="M263" s="85">
        <v>46163</v>
      </c>
      <c r="N263" s="86" cm="1">
        <f t="array" ref="N263">WORKDAY(M263,10)</f>
        <v>46177</v>
      </c>
      <c r="O263" s="87">
        <v>0</v>
      </c>
      <c r="P263" s="88">
        <v>0</v>
      </c>
      <c r="Q263" s="89">
        <v>46136</v>
      </c>
      <c r="R263" s="96">
        <v>46164</v>
      </c>
      <c r="S263" s="86" cm="1">
        <f t="array" ref="S263">WORKDAY(R263,10)</f>
        <v>46178</v>
      </c>
      <c r="T263" s="87">
        <v>0</v>
      </c>
      <c r="U263" s="91" t="s">
        <v>105</v>
      </c>
      <c r="V263" s="92">
        <v>0</v>
      </c>
      <c r="W263" s="93" cm="1">
        <f t="array" ref="W263">WORKDAY(X263,-20)</f>
        <v>46247</v>
      </c>
      <c r="X263" s="80" t="s">
        <v>513</v>
      </c>
      <c r="Y263" s="88">
        <v>0</v>
      </c>
      <c r="Z263" s="93">
        <v>46281</v>
      </c>
      <c r="AA263" s="90">
        <v>46323</v>
      </c>
      <c r="AB263" s="88">
        <v>0</v>
      </c>
      <c r="AC263" s="79" t="s">
        <v>49</v>
      </c>
      <c r="AD263" s="79" t="s">
        <v>49</v>
      </c>
      <c r="AE263" s="90"/>
      <c r="AF263" s="88">
        <v>0</v>
      </c>
      <c r="AG263" s="93" cm="1">
        <f t="array" ref="AG263">WORKDAY(AA263,2)</f>
        <v>46325</v>
      </c>
      <c r="AH263" s="90" cm="1">
        <f t="array" ref="AH263">WORKDAY(AG263,1)</f>
        <v>46328</v>
      </c>
      <c r="AI263" s="86" cm="1">
        <f t="array" ref="AI263">WORKDAY(AH263,1)</f>
        <v>46329</v>
      </c>
      <c r="AJ263" s="145"/>
      <c r="AK263" s="56"/>
    </row>
    <row r="264" spans="1:37" ht="25.5" customHeight="1">
      <c r="A264" s="140" cm="1">
        <f t="array" ref="A264">A263+1</f>
        <v>249</v>
      </c>
      <c r="B264" s="79" t="s">
        <v>1367</v>
      </c>
      <c r="C264" s="104">
        <v>2</v>
      </c>
      <c r="D264" s="79" t="s">
        <v>1120</v>
      </c>
      <c r="E264" s="79" t="s">
        <v>1368</v>
      </c>
      <c r="F264" s="79" t="s">
        <v>78</v>
      </c>
      <c r="G264" s="80" t="s">
        <v>1267</v>
      </c>
      <c r="H264" s="81">
        <v>67516</v>
      </c>
      <c r="I264" s="109"/>
      <c r="J264" s="110">
        <v>110</v>
      </c>
      <c r="K264" s="107" t="s">
        <v>1125</v>
      </c>
      <c r="L264" s="84">
        <v>46099</v>
      </c>
      <c r="M264" s="85">
        <v>46115</v>
      </c>
      <c r="N264" s="86" cm="1">
        <f t="array" ref="N264">WORKDAY(M264,10)</f>
        <v>46129</v>
      </c>
      <c r="O264" s="87">
        <v>0</v>
      </c>
      <c r="P264" s="88">
        <v>0</v>
      </c>
      <c r="Q264" s="89">
        <v>46136</v>
      </c>
      <c r="R264" s="96">
        <v>46164</v>
      </c>
      <c r="S264" s="86" cm="1">
        <f t="array" ref="S264">WORKDAY(R264,10)</f>
        <v>46178</v>
      </c>
      <c r="T264" s="87">
        <v>0</v>
      </c>
      <c r="U264" s="91" t="s">
        <v>105</v>
      </c>
      <c r="V264" s="92">
        <v>0</v>
      </c>
      <c r="W264" s="93" cm="1">
        <f t="array" ref="W264">WORKDAY(X264,-20)</f>
        <v>46230</v>
      </c>
      <c r="X264" s="90">
        <v>46258</v>
      </c>
      <c r="Y264" s="88">
        <v>0</v>
      </c>
      <c r="Z264" s="93">
        <v>46261</v>
      </c>
      <c r="AA264" s="90">
        <v>46323</v>
      </c>
      <c r="AB264" s="88">
        <v>0</v>
      </c>
      <c r="AC264" s="79" t="s">
        <v>49</v>
      </c>
      <c r="AD264" s="79" t="s">
        <v>49</v>
      </c>
      <c r="AE264" s="90"/>
      <c r="AF264" s="88">
        <v>0</v>
      </c>
      <c r="AG264" s="93" cm="1">
        <f t="array" ref="AG264">WORKDAY(AA264,2)</f>
        <v>46325</v>
      </c>
      <c r="AH264" s="90" cm="1">
        <f t="array" ref="AH264">WORKDAY(AG264,1)</f>
        <v>46328</v>
      </c>
      <c r="AI264" s="86" cm="1">
        <f t="array" ref="AI264">WORKDAY(AH264,1)</f>
        <v>46329</v>
      </c>
      <c r="AJ264" s="145"/>
      <c r="AK264" s="56"/>
    </row>
    <row r="265" spans="1:37" ht="25.5" customHeight="1">
      <c r="A265" s="140" cm="1">
        <f t="array" ref="A265">A264+1</f>
        <v>250</v>
      </c>
      <c r="B265" s="79" t="s">
        <v>517</v>
      </c>
      <c r="C265" s="104">
        <v>2</v>
      </c>
      <c r="D265" s="79" t="s">
        <v>501</v>
      </c>
      <c r="E265" s="79" t="s">
        <v>518</v>
      </c>
      <c r="F265" s="79"/>
      <c r="G265" s="80" t="s">
        <v>503</v>
      </c>
      <c r="H265" s="81">
        <v>41858</v>
      </c>
      <c r="I265" s="79" t="s">
        <v>519</v>
      </c>
      <c r="J265" s="98"/>
      <c r="K265" s="100">
        <v>0</v>
      </c>
      <c r="L265" s="105" cm="1">
        <f t="array" ref="L265">WORKDAY(M265,-10)</f>
        <v>46149</v>
      </c>
      <c r="M265" s="85">
        <v>46163</v>
      </c>
      <c r="N265" s="86" cm="1">
        <f t="array" ref="N265">WORKDAY(M265,10)</f>
        <v>46177</v>
      </c>
      <c r="O265" s="87">
        <v>0</v>
      </c>
      <c r="P265" s="88">
        <v>0</v>
      </c>
      <c r="Q265" s="89">
        <v>46136</v>
      </c>
      <c r="R265" s="96">
        <v>46164</v>
      </c>
      <c r="S265" s="86" cm="1">
        <f t="array" ref="S265">WORKDAY(R265,10)</f>
        <v>46178</v>
      </c>
      <c r="T265" s="87">
        <v>0</v>
      </c>
      <c r="U265" s="91" t="s">
        <v>105</v>
      </c>
      <c r="V265" s="92">
        <v>0</v>
      </c>
      <c r="W265" s="93" cm="1">
        <f t="array" ref="W265">WORKDAY(X265,-20)</f>
        <v>46248</v>
      </c>
      <c r="X265" s="80" t="s">
        <v>520</v>
      </c>
      <c r="Y265" s="88">
        <v>0</v>
      </c>
      <c r="Z265" s="93">
        <v>46282</v>
      </c>
      <c r="AA265" s="90">
        <v>46324</v>
      </c>
      <c r="AB265" s="88">
        <v>0</v>
      </c>
      <c r="AC265" s="79" t="s">
        <v>49</v>
      </c>
      <c r="AD265" s="79" t="s">
        <v>49</v>
      </c>
      <c r="AE265" s="90"/>
      <c r="AF265" s="88">
        <v>0</v>
      </c>
      <c r="AG265" s="93" cm="1">
        <f t="array" ref="AG265">WORKDAY(AA265,2)</f>
        <v>46328</v>
      </c>
      <c r="AH265" s="90" cm="1">
        <f t="array" ref="AH265">WORKDAY(AG265,1)</f>
        <v>46329</v>
      </c>
      <c r="AI265" s="86" cm="1">
        <f t="array" ref="AI265">WORKDAY(AH265,1)</f>
        <v>46330</v>
      </c>
      <c r="AJ265" s="145"/>
      <c r="AK265" s="56"/>
    </row>
    <row r="266" spans="1:37" ht="25.5" customHeight="1">
      <c r="A266" s="140" cm="1">
        <f t="array" ref="A266">A265+1</f>
        <v>251</v>
      </c>
      <c r="B266" s="79" t="s">
        <v>521</v>
      </c>
      <c r="C266" s="104">
        <v>2</v>
      </c>
      <c r="D266" s="79" t="s">
        <v>501</v>
      </c>
      <c r="E266" s="79" t="s">
        <v>522</v>
      </c>
      <c r="F266" s="79"/>
      <c r="G266" s="80" t="s">
        <v>503</v>
      </c>
      <c r="H266" s="81">
        <v>41858</v>
      </c>
      <c r="I266" s="79" t="s">
        <v>523</v>
      </c>
      <c r="J266" s="98"/>
      <c r="K266" s="100">
        <v>0</v>
      </c>
      <c r="L266" s="105" cm="1">
        <f t="array" ref="L266">WORKDAY(M266,-10)</f>
        <v>46149</v>
      </c>
      <c r="M266" s="85">
        <v>46163</v>
      </c>
      <c r="N266" s="86" cm="1">
        <f t="array" ref="N266">WORKDAY(M266,10)</f>
        <v>46177</v>
      </c>
      <c r="O266" s="87">
        <v>0</v>
      </c>
      <c r="P266" s="88">
        <v>0</v>
      </c>
      <c r="Q266" s="89">
        <v>46136</v>
      </c>
      <c r="R266" s="96">
        <v>46164</v>
      </c>
      <c r="S266" s="86" cm="1">
        <f t="array" ref="S266">WORKDAY(R266,10)</f>
        <v>46178</v>
      </c>
      <c r="T266" s="87">
        <v>0</v>
      </c>
      <c r="U266" s="91" t="s">
        <v>105</v>
      </c>
      <c r="V266" s="92">
        <v>0</v>
      </c>
      <c r="W266" s="93" cm="1">
        <f t="array" ref="W266">WORKDAY(X266,-20)</f>
        <v>46252</v>
      </c>
      <c r="X266" s="80" t="s">
        <v>524</v>
      </c>
      <c r="Y266" s="88">
        <v>0</v>
      </c>
      <c r="Z266" s="93">
        <v>46282</v>
      </c>
      <c r="AA266" s="90">
        <v>46324</v>
      </c>
      <c r="AB266" s="88">
        <v>0</v>
      </c>
      <c r="AC266" s="79" t="s">
        <v>49</v>
      </c>
      <c r="AD266" s="79" t="s">
        <v>49</v>
      </c>
      <c r="AE266" s="90"/>
      <c r="AF266" s="88">
        <v>0</v>
      </c>
      <c r="AG266" s="93" cm="1">
        <f t="array" ref="AG266">WORKDAY(AA266,2)</f>
        <v>46328</v>
      </c>
      <c r="AH266" s="90" cm="1">
        <f t="array" ref="AH266">WORKDAY(AG266,1)</f>
        <v>46329</v>
      </c>
      <c r="AI266" s="86" cm="1">
        <f t="array" ref="AI266">WORKDAY(AH266,1)</f>
        <v>46330</v>
      </c>
      <c r="AJ266" s="145"/>
      <c r="AK266" s="56"/>
    </row>
    <row r="267" spans="1:37" ht="25.5" customHeight="1">
      <c r="A267" s="140" cm="1">
        <f t="array" ref="A267">A266+1</f>
        <v>252</v>
      </c>
      <c r="B267" s="79" t="s">
        <v>1369</v>
      </c>
      <c r="C267" s="104">
        <v>2</v>
      </c>
      <c r="D267" s="79" t="s">
        <v>1120</v>
      </c>
      <c r="E267" s="79" t="s">
        <v>1370</v>
      </c>
      <c r="F267" s="79" t="s">
        <v>78</v>
      </c>
      <c r="G267" s="80" t="s">
        <v>1267</v>
      </c>
      <c r="H267" s="81">
        <v>67516</v>
      </c>
      <c r="I267" s="109"/>
      <c r="J267" s="110">
        <v>111</v>
      </c>
      <c r="K267" s="107" t="s">
        <v>1125</v>
      </c>
      <c r="L267" s="84">
        <v>46099</v>
      </c>
      <c r="M267" s="85">
        <v>46115</v>
      </c>
      <c r="N267" s="86" cm="1">
        <f t="array" ref="N267">WORKDAY(M267,10)</f>
        <v>46129</v>
      </c>
      <c r="O267" s="87">
        <v>0</v>
      </c>
      <c r="P267" s="88">
        <v>0</v>
      </c>
      <c r="Q267" s="89">
        <v>46136</v>
      </c>
      <c r="R267" s="96">
        <v>46164</v>
      </c>
      <c r="S267" s="86" cm="1">
        <f t="array" ref="S267">WORKDAY(R267,10)</f>
        <v>46178</v>
      </c>
      <c r="T267" s="87">
        <v>0</v>
      </c>
      <c r="U267" s="91" t="s">
        <v>105</v>
      </c>
      <c r="V267" s="92">
        <v>0</v>
      </c>
      <c r="W267" s="93" cm="1">
        <f t="array" ref="W267">WORKDAY(X267,-20)</f>
        <v>46231</v>
      </c>
      <c r="X267" s="90">
        <v>46259</v>
      </c>
      <c r="Y267" s="88">
        <v>0</v>
      </c>
      <c r="Z267" s="93">
        <v>46262</v>
      </c>
      <c r="AA267" s="90">
        <v>46324</v>
      </c>
      <c r="AB267" s="88">
        <v>0</v>
      </c>
      <c r="AC267" s="79" t="s">
        <v>49</v>
      </c>
      <c r="AD267" s="79" t="s">
        <v>49</v>
      </c>
      <c r="AE267" s="90"/>
      <c r="AF267" s="88">
        <v>0</v>
      </c>
      <c r="AG267" s="93" cm="1">
        <f t="array" ref="AG267">WORKDAY(AA267,2)</f>
        <v>46328</v>
      </c>
      <c r="AH267" s="90" cm="1">
        <f t="array" ref="AH267">WORKDAY(AG267,1)</f>
        <v>46329</v>
      </c>
      <c r="AI267" s="86" cm="1">
        <f t="array" ref="AI267">WORKDAY(AH267,1)</f>
        <v>46330</v>
      </c>
      <c r="AJ267" s="145"/>
      <c r="AK267" s="56"/>
    </row>
    <row r="268" spans="1:37" ht="25.5" customHeight="1">
      <c r="A268" s="140" cm="1">
        <f t="array" ref="A268">A267+1</f>
        <v>253</v>
      </c>
      <c r="B268" s="79" t="s">
        <v>525</v>
      </c>
      <c r="C268" s="104">
        <v>2</v>
      </c>
      <c r="D268" s="79" t="s">
        <v>526</v>
      </c>
      <c r="E268" s="79" t="s">
        <v>527</v>
      </c>
      <c r="F268" s="79"/>
      <c r="G268" s="80" t="s">
        <v>528</v>
      </c>
      <c r="H268" s="81">
        <v>38386</v>
      </c>
      <c r="I268" s="79" t="s">
        <v>529</v>
      </c>
      <c r="J268" s="98"/>
      <c r="K268" s="100">
        <v>0</v>
      </c>
      <c r="L268" s="105" cm="1">
        <f t="array" ref="L268">WORKDAY(M268,-10)</f>
        <v>46149</v>
      </c>
      <c r="M268" s="85">
        <v>46163</v>
      </c>
      <c r="N268" s="86" cm="1">
        <f t="array" ref="N268">WORKDAY(M268,10)</f>
        <v>46177</v>
      </c>
      <c r="O268" s="87">
        <v>0</v>
      </c>
      <c r="P268" s="88">
        <v>0</v>
      </c>
      <c r="Q268" s="89">
        <v>46136</v>
      </c>
      <c r="R268" s="96">
        <v>46164</v>
      </c>
      <c r="S268" s="86" cm="1">
        <f t="array" ref="S268">WORKDAY(R268,10)</f>
        <v>46178</v>
      </c>
      <c r="T268" s="87">
        <v>0</v>
      </c>
      <c r="U268" s="91" t="s">
        <v>105</v>
      </c>
      <c r="V268" s="92">
        <v>0</v>
      </c>
      <c r="W268" s="93" cm="1">
        <f t="array" ref="W268">WORKDAY(X268,-20)</f>
        <v>46253</v>
      </c>
      <c r="X268" s="80" t="s">
        <v>530</v>
      </c>
      <c r="Y268" s="88">
        <v>0</v>
      </c>
      <c r="Z268" s="93">
        <v>46283</v>
      </c>
      <c r="AA268" s="90">
        <v>46325</v>
      </c>
      <c r="AB268" s="88">
        <v>0</v>
      </c>
      <c r="AC268" s="79" t="s">
        <v>49</v>
      </c>
      <c r="AD268" s="79" t="s">
        <v>49</v>
      </c>
      <c r="AE268" s="90"/>
      <c r="AF268" s="88">
        <v>0</v>
      </c>
      <c r="AG268" s="93" cm="1">
        <f t="array" ref="AG268">WORKDAY(AA268,2)</f>
        <v>46329</v>
      </c>
      <c r="AH268" s="90" cm="1">
        <f t="array" ref="AH268">WORKDAY(AG268,1)</f>
        <v>46330</v>
      </c>
      <c r="AI268" s="86" cm="1">
        <f t="array" ref="AI268">WORKDAY(AH268,1)</f>
        <v>46331</v>
      </c>
      <c r="AJ268" s="145"/>
      <c r="AK268" s="56"/>
    </row>
    <row r="269" spans="1:37" ht="25.5" customHeight="1">
      <c r="A269" s="140" cm="1">
        <f t="array" ref="A269">A268+1</f>
        <v>254</v>
      </c>
      <c r="B269" s="79" t="s">
        <v>531</v>
      </c>
      <c r="C269" s="104">
        <v>2</v>
      </c>
      <c r="D269" s="79" t="s">
        <v>526</v>
      </c>
      <c r="E269" s="79" t="s">
        <v>532</v>
      </c>
      <c r="F269" s="79"/>
      <c r="G269" s="80" t="s">
        <v>528</v>
      </c>
      <c r="H269" s="81">
        <v>38386</v>
      </c>
      <c r="I269" s="79" t="s">
        <v>533</v>
      </c>
      <c r="J269" s="98"/>
      <c r="K269" s="100">
        <v>0</v>
      </c>
      <c r="L269" s="105" cm="1">
        <f t="array" ref="L269">WORKDAY(M269,-10)</f>
        <v>46149</v>
      </c>
      <c r="M269" s="85">
        <v>46163</v>
      </c>
      <c r="N269" s="86" cm="1">
        <f t="array" ref="N269">WORKDAY(M269,10)</f>
        <v>46177</v>
      </c>
      <c r="O269" s="87">
        <v>0</v>
      </c>
      <c r="P269" s="88">
        <v>0</v>
      </c>
      <c r="Q269" s="89">
        <v>46136</v>
      </c>
      <c r="R269" s="96">
        <v>46164</v>
      </c>
      <c r="S269" s="86" cm="1">
        <f t="array" ref="S269">WORKDAY(R269,10)</f>
        <v>46178</v>
      </c>
      <c r="T269" s="87">
        <v>0</v>
      </c>
      <c r="U269" s="91" t="s">
        <v>114</v>
      </c>
      <c r="V269" s="92">
        <v>0</v>
      </c>
      <c r="W269" s="93" cm="1">
        <f t="array" ref="W269">WORKDAY(X269,-20)</f>
        <v>46238</v>
      </c>
      <c r="X269" s="90">
        <v>46266</v>
      </c>
      <c r="Y269" s="88">
        <v>0</v>
      </c>
      <c r="Z269" s="93">
        <v>46283</v>
      </c>
      <c r="AA269" s="90">
        <v>46325</v>
      </c>
      <c r="AB269" s="88">
        <v>0</v>
      </c>
      <c r="AC269" s="79" t="s">
        <v>49</v>
      </c>
      <c r="AD269" s="79" t="s">
        <v>49</v>
      </c>
      <c r="AE269" s="90"/>
      <c r="AF269" s="88">
        <v>0</v>
      </c>
      <c r="AG269" s="93" cm="1">
        <f t="array" ref="AG269">WORKDAY(AA269,2)</f>
        <v>46329</v>
      </c>
      <c r="AH269" s="90" cm="1">
        <f t="array" ref="AH269">WORKDAY(AG269,1)</f>
        <v>46330</v>
      </c>
      <c r="AI269" s="86" cm="1">
        <f t="array" ref="AI269">WORKDAY(AH269,1)</f>
        <v>46331</v>
      </c>
      <c r="AJ269" s="145"/>
      <c r="AK269" s="56"/>
    </row>
    <row r="270" spans="1:37" ht="25.5" customHeight="1">
      <c r="A270" s="140" cm="1">
        <f t="array" ref="A270">A269+1</f>
        <v>255</v>
      </c>
      <c r="B270" s="79" t="s">
        <v>1371</v>
      </c>
      <c r="C270" s="104">
        <v>2</v>
      </c>
      <c r="D270" s="79" t="s">
        <v>1120</v>
      </c>
      <c r="E270" s="79" t="s">
        <v>1372</v>
      </c>
      <c r="F270" s="79" t="s">
        <v>78</v>
      </c>
      <c r="G270" s="80" t="s">
        <v>1267</v>
      </c>
      <c r="H270" s="81">
        <v>67516</v>
      </c>
      <c r="I270" s="109"/>
      <c r="J270" s="110">
        <v>112</v>
      </c>
      <c r="K270" s="100">
        <v>0.6</v>
      </c>
      <c r="L270" s="84">
        <v>46099</v>
      </c>
      <c r="M270" s="85">
        <v>46120</v>
      </c>
      <c r="N270" s="86" cm="1">
        <f t="array" ref="N270">WORKDAY(M270,10)</f>
        <v>46134</v>
      </c>
      <c r="O270" s="87">
        <v>0</v>
      </c>
      <c r="P270" s="88">
        <v>0</v>
      </c>
      <c r="Q270" s="89">
        <v>46136</v>
      </c>
      <c r="R270" s="96">
        <v>46164</v>
      </c>
      <c r="S270" s="86" cm="1">
        <f t="array" ref="S270">WORKDAY(R270,10)</f>
        <v>46178</v>
      </c>
      <c r="T270" s="87">
        <v>0</v>
      </c>
      <c r="U270" s="91" t="s">
        <v>105</v>
      </c>
      <c r="V270" s="92">
        <v>0</v>
      </c>
      <c r="W270" s="93" cm="1">
        <f t="array" ref="W270">WORKDAY(X270,-20)</f>
        <v>46232</v>
      </c>
      <c r="X270" s="90">
        <v>46260</v>
      </c>
      <c r="Y270" s="88">
        <v>0</v>
      </c>
      <c r="Z270" s="93">
        <v>46265</v>
      </c>
      <c r="AA270" s="90">
        <v>46325</v>
      </c>
      <c r="AB270" s="88">
        <v>0</v>
      </c>
      <c r="AC270" s="79" t="s">
        <v>49</v>
      </c>
      <c r="AD270" s="79" t="s">
        <v>49</v>
      </c>
      <c r="AE270" s="90"/>
      <c r="AF270" s="88">
        <v>0</v>
      </c>
      <c r="AG270" s="93" cm="1">
        <f t="array" ref="AG270">WORKDAY(AA270,2)</f>
        <v>46329</v>
      </c>
      <c r="AH270" s="90" cm="1">
        <f t="array" ref="AH270">WORKDAY(AG270,1)</f>
        <v>46330</v>
      </c>
      <c r="AI270" s="86" cm="1">
        <f t="array" ref="AI270">WORKDAY(AH270,1)</f>
        <v>46331</v>
      </c>
      <c r="AJ270" s="145"/>
      <c r="AK270" s="56"/>
    </row>
    <row r="271" spans="1:37" ht="25.5" customHeight="1">
      <c r="A271" s="140" cm="1">
        <f t="array" ref="A271">A270+1</f>
        <v>256</v>
      </c>
      <c r="B271" s="79" t="s">
        <v>534</v>
      </c>
      <c r="C271" s="104">
        <v>2</v>
      </c>
      <c r="D271" s="79" t="s">
        <v>526</v>
      </c>
      <c r="E271" s="79" t="s">
        <v>535</v>
      </c>
      <c r="F271" s="79"/>
      <c r="G271" s="80" t="s">
        <v>528</v>
      </c>
      <c r="H271" s="81">
        <v>38386</v>
      </c>
      <c r="I271" s="79" t="s">
        <v>536</v>
      </c>
      <c r="J271" s="98"/>
      <c r="K271" s="100">
        <v>0</v>
      </c>
      <c r="L271" s="105" cm="1">
        <f t="array" ref="L271">WORKDAY(M271,-10)</f>
        <v>46149</v>
      </c>
      <c r="M271" s="85">
        <v>46163</v>
      </c>
      <c r="N271" s="86" cm="1">
        <f t="array" ref="N271">WORKDAY(M271,10)</f>
        <v>46177</v>
      </c>
      <c r="O271" s="87">
        <v>0</v>
      </c>
      <c r="P271" s="88">
        <v>0</v>
      </c>
      <c r="Q271" s="89">
        <v>46136</v>
      </c>
      <c r="R271" s="96">
        <v>46164</v>
      </c>
      <c r="S271" s="86" cm="1">
        <f t="array" ref="S271">WORKDAY(R271,10)</f>
        <v>46178</v>
      </c>
      <c r="T271" s="87">
        <v>0</v>
      </c>
      <c r="U271" s="91" t="s">
        <v>114</v>
      </c>
      <c r="V271" s="92">
        <v>0</v>
      </c>
      <c r="W271" s="93" cm="1">
        <f t="array" ref="W271">WORKDAY(X271,-20)</f>
        <v>46239</v>
      </c>
      <c r="X271" s="90">
        <v>46267</v>
      </c>
      <c r="Y271" s="88">
        <v>0</v>
      </c>
      <c r="Z271" s="93">
        <v>46286</v>
      </c>
      <c r="AA271" s="90">
        <v>46328</v>
      </c>
      <c r="AB271" s="88">
        <v>0</v>
      </c>
      <c r="AC271" s="79" t="s">
        <v>49</v>
      </c>
      <c r="AD271" s="79" t="s">
        <v>49</v>
      </c>
      <c r="AE271" s="90"/>
      <c r="AF271" s="88">
        <v>0</v>
      </c>
      <c r="AG271" s="93" cm="1">
        <f t="array" ref="AG271">WORKDAY(AA271,2)</f>
        <v>46330</v>
      </c>
      <c r="AH271" s="90" cm="1">
        <f t="array" ref="AH271">WORKDAY(AG271,1)</f>
        <v>46331</v>
      </c>
      <c r="AI271" s="86" cm="1">
        <f t="array" ref="AI271">WORKDAY(AH271,1)</f>
        <v>46332</v>
      </c>
      <c r="AJ271" s="145"/>
      <c r="AK271" s="56"/>
    </row>
    <row r="272" spans="1:37" ht="25.5" customHeight="1">
      <c r="A272" s="140" cm="1">
        <f t="array" ref="A272">A271+1</f>
        <v>257</v>
      </c>
      <c r="B272" s="79" t="s">
        <v>537</v>
      </c>
      <c r="C272" s="104">
        <v>2</v>
      </c>
      <c r="D272" s="79" t="s">
        <v>526</v>
      </c>
      <c r="E272" s="79" t="s">
        <v>538</v>
      </c>
      <c r="F272" s="79"/>
      <c r="G272" s="80" t="s">
        <v>528</v>
      </c>
      <c r="H272" s="81">
        <v>38386</v>
      </c>
      <c r="I272" s="79" t="s">
        <v>539</v>
      </c>
      <c r="J272" s="98"/>
      <c r="K272" s="100">
        <v>0</v>
      </c>
      <c r="L272" s="105" cm="1">
        <f t="array" ref="L272">WORKDAY(M272,-10)</f>
        <v>46149</v>
      </c>
      <c r="M272" s="85">
        <v>46163</v>
      </c>
      <c r="N272" s="86" cm="1">
        <f t="array" ref="N272">WORKDAY(M272,10)</f>
        <v>46177</v>
      </c>
      <c r="O272" s="87">
        <v>0</v>
      </c>
      <c r="P272" s="88">
        <v>0</v>
      </c>
      <c r="Q272" s="89">
        <v>46136</v>
      </c>
      <c r="R272" s="96">
        <v>46164</v>
      </c>
      <c r="S272" s="86" cm="1">
        <f t="array" ref="S272">WORKDAY(R272,10)</f>
        <v>46178</v>
      </c>
      <c r="T272" s="87">
        <v>0</v>
      </c>
      <c r="U272" s="91" t="s">
        <v>114</v>
      </c>
      <c r="V272" s="92">
        <v>0</v>
      </c>
      <c r="W272" s="93" cm="1">
        <f t="array" ref="W272">WORKDAY(X272,-20)</f>
        <v>46240</v>
      </c>
      <c r="X272" s="90">
        <v>46268</v>
      </c>
      <c r="Y272" s="88">
        <v>0</v>
      </c>
      <c r="Z272" s="93">
        <v>46286</v>
      </c>
      <c r="AA272" s="90">
        <v>46328</v>
      </c>
      <c r="AB272" s="88">
        <v>0</v>
      </c>
      <c r="AC272" s="79" t="s">
        <v>49</v>
      </c>
      <c r="AD272" s="79" t="s">
        <v>49</v>
      </c>
      <c r="AE272" s="90"/>
      <c r="AF272" s="88">
        <v>0</v>
      </c>
      <c r="AG272" s="93" cm="1">
        <f t="array" ref="AG272">WORKDAY(AA272,2)</f>
        <v>46330</v>
      </c>
      <c r="AH272" s="90" cm="1">
        <f t="array" ref="AH272">WORKDAY(AG272,1)</f>
        <v>46331</v>
      </c>
      <c r="AI272" s="86" cm="1">
        <f t="array" ref="AI272">WORKDAY(AH272,1)</f>
        <v>46332</v>
      </c>
      <c r="AJ272" s="145"/>
      <c r="AK272" s="56"/>
    </row>
    <row r="273" spans="1:37" ht="25.5" customHeight="1">
      <c r="A273" s="140" cm="1">
        <f t="array" ref="A273">A272+1</f>
        <v>258</v>
      </c>
      <c r="B273" s="79" t="s">
        <v>540</v>
      </c>
      <c r="C273" s="104">
        <v>2</v>
      </c>
      <c r="D273" s="79" t="s">
        <v>526</v>
      </c>
      <c r="E273" s="79" t="s">
        <v>541</v>
      </c>
      <c r="F273" s="79"/>
      <c r="G273" s="80" t="s">
        <v>528</v>
      </c>
      <c r="H273" s="81">
        <v>38386</v>
      </c>
      <c r="I273" s="79" t="s">
        <v>542</v>
      </c>
      <c r="J273" s="98"/>
      <c r="K273" s="100">
        <v>0</v>
      </c>
      <c r="L273" s="105" cm="1">
        <f t="array" ref="L273">WORKDAY(M273,-10)</f>
        <v>46149</v>
      </c>
      <c r="M273" s="85">
        <v>46163</v>
      </c>
      <c r="N273" s="86" cm="1">
        <f t="array" ref="N273">WORKDAY(M273,10)</f>
        <v>46177</v>
      </c>
      <c r="O273" s="87">
        <v>0</v>
      </c>
      <c r="P273" s="88">
        <v>0</v>
      </c>
      <c r="Q273" s="89">
        <v>46136</v>
      </c>
      <c r="R273" s="96">
        <v>46164</v>
      </c>
      <c r="S273" s="86" cm="1">
        <f t="array" ref="S273">WORKDAY(R273,10)</f>
        <v>46178</v>
      </c>
      <c r="T273" s="87">
        <v>0</v>
      </c>
      <c r="U273" s="91" t="s">
        <v>114</v>
      </c>
      <c r="V273" s="92">
        <v>0</v>
      </c>
      <c r="W273" s="93" cm="1">
        <f t="array" ref="W273">WORKDAY(X273,-20)</f>
        <v>46241</v>
      </c>
      <c r="X273" s="90">
        <v>46269</v>
      </c>
      <c r="Y273" s="88">
        <v>0</v>
      </c>
      <c r="Z273" s="93">
        <v>46287</v>
      </c>
      <c r="AA273" s="90">
        <v>46329</v>
      </c>
      <c r="AB273" s="88">
        <v>0</v>
      </c>
      <c r="AC273" s="79" t="s">
        <v>49</v>
      </c>
      <c r="AD273" s="79" t="s">
        <v>49</v>
      </c>
      <c r="AE273" s="90"/>
      <c r="AF273" s="88">
        <v>0</v>
      </c>
      <c r="AG273" s="93" cm="1">
        <f t="array" ref="AG273">WORKDAY(AA273,2)</f>
        <v>46331</v>
      </c>
      <c r="AH273" s="90" cm="1">
        <f t="array" ref="AH273">WORKDAY(AG273,1)</f>
        <v>46332</v>
      </c>
      <c r="AI273" s="86" cm="1">
        <f t="array" ref="AI273">WORKDAY(AH273,1)</f>
        <v>46335</v>
      </c>
      <c r="AJ273" s="145"/>
      <c r="AK273" s="56"/>
    </row>
    <row r="274" spans="1:37" ht="25.5" customHeight="1">
      <c r="A274" s="140" cm="1">
        <f t="array" ref="A274">A273+1</f>
        <v>259</v>
      </c>
      <c r="B274" s="79" t="s">
        <v>543</v>
      </c>
      <c r="C274" s="104">
        <v>2</v>
      </c>
      <c r="D274" s="79" t="s">
        <v>526</v>
      </c>
      <c r="E274" s="79" t="s">
        <v>544</v>
      </c>
      <c r="F274" s="79"/>
      <c r="G274" s="80" t="s">
        <v>528</v>
      </c>
      <c r="H274" s="81">
        <v>38386</v>
      </c>
      <c r="I274" s="79" t="s">
        <v>545</v>
      </c>
      <c r="J274" s="98"/>
      <c r="K274" s="100">
        <v>0</v>
      </c>
      <c r="L274" s="105" cm="1">
        <f t="array" ref="L274">WORKDAY(M274,-10)</f>
        <v>46149</v>
      </c>
      <c r="M274" s="85">
        <v>46163</v>
      </c>
      <c r="N274" s="86" cm="1">
        <f t="array" ref="N274">WORKDAY(M274,10)</f>
        <v>46177</v>
      </c>
      <c r="O274" s="87">
        <v>0</v>
      </c>
      <c r="P274" s="88">
        <v>0</v>
      </c>
      <c r="Q274" s="89">
        <v>46136</v>
      </c>
      <c r="R274" s="96">
        <v>46164</v>
      </c>
      <c r="S274" s="86" cm="1">
        <f t="array" ref="S274">WORKDAY(R274,10)</f>
        <v>46178</v>
      </c>
      <c r="T274" s="87">
        <v>0</v>
      </c>
      <c r="U274" s="91" t="s">
        <v>114</v>
      </c>
      <c r="V274" s="92">
        <v>0</v>
      </c>
      <c r="W274" s="93" cm="1">
        <f t="array" ref="W274">WORKDAY(X274,-20)</f>
        <v>46244</v>
      </c>
      <c r="X274" s="90">
        <v>46272</v>
      </c>
      <c r="Y274" s="88">
        <v>0</v>
      </c>
      <c r="Z274" s="93">
        <v>46287</v>
      </c>
      <c r="AA274" s="90">
        <v>46329</v>
      </c>
      <c r="AB274" s="88">
        <v>0</v>
      </c>
      <c r="AC274" s="79" t="s">
        <v>49</v>
      </c>
      <c r="AD274" s="79" t="s">
        <v>49</v>
      </c>
      <c r="AE274" s="90"/>
      <c r="AF274" s="88">
        <v>0</v>
      </c>
      <c r="AG274" s="93" cm="1">
        <f t="array" ref="AG274">WORKDAY(AA274,2)</f>
        <v>46331</v>
      </c>
      <c r="AH274" s="90" cm="1">
        <f t="array" ref="AH274">WORKDAY(AG274,1)</f>
        <v>46332</v>
      </c>
      <c r="AI274" s="86" cm="1">
        <f t="array" ref="AI274">WORKDAY(AH274,1)</f>
        <v>46335</v>
      </c>
      <c r="AJ274" s="145"/>
      <c r="AK274" s="56"/>
    </row>
    <row r="275" spans="1:37" ht="25.5" customHeight="1">
      <c r="A275" s="140" cm="1">
        <f t="array" ref="A275">A274+1</f>
        <v>260</v>
      </c>
      <c r="B275" s="79" t="s">
        <v>1373</v>
      </c>
      <c r="C275" s="104">
        <v>2</v>
      </c>
      <c r="D275" s="79" t="s">
        <v>1169</v>
      </c>
      <c r="E275" s="79" t="s">
        <v>1374</v>
      </c>
      <c r="F275" s="79" t="s">
        <v>78</v>
      </c>
      <c r="G275" s="80" t="s">
        <v>1267</v>
      </c>
      <c r="H275" s="81">
        <v>67516</v>
      </c>
      <c r="I275" s="109"/>
      <c r="J275" s="110">
        <v>113</v>
      </c>
      <c r="K275" s="100">
        <v>0.6</v>
      </c>
      <c r="L275" s="84">
        <v>46099</v>
      </c>
      <c r="M275" s="85">
        <v>46120</v>
      </c>
      <c r="N275" s="86" cm="1">
        <f t="array" ref="N275">WORKDAY(M275,10)</f>
        <v>46134</v>
      </c>
      <c r="O275" s="87">
        <v>0</v>
      </c>
      <c r="P275" s="88">
        <v>0</v>
      </c>
      <c r="Q275" s="89">
        <v>46136</v>
      </c>
      <c r="R275" s="96">
        <v>46164</v>
      </c>
      <c r="S275" s="86" cm="1">
        <f t="array" ref="S275">WORKDAY(R275,10)</f>
        <v>46178</v>
      </c>
      <c r="T275" s="87">
        <v>0</v>
      </c>
      <c r="U275" s="91" t="s">
        <v>105</v>
      </c>
      <c r="V275" s="92">
        <v>0</v>
      </c>
      <c r="W275" s="93" cm="1">
        <f t="array" ref="W275">WORKDAY(X275,-20)</f>
        <v>46232</v>
      </c>
      <c r="X275" s="90">
        <v>46260</v>
      </c>
      <c r="Y275" s="88">
        <v>0</v>
      </c>
      <c r="Z275" s="93">
        <v>46265</v>
      </c>
      <c r="AA275" s="90">
        <v>46329</v>
      </c>
      <c r="AB275" s="88">
        <v>0</v>
      </c>
      <c r="AC275" s="79" t="s">
        <v>49</v>
      </c>
      <c r="AD275" s="79" t="s">
        <v>49</v>
      </c>
      <c r="AE275" s="90"/>
      <c r="AF275" s="88">
        <v>0</v>
      </c>
      <c r="AG275" s="93" cm="1">
        <f t="array" ref="AG275">WORKDAY(AA275,2)</f>
        <v>46331</v>
      </c>
      <c r="AH275" s="90" cm="1">
        <f t="array" ref="AH275">WORKDAY(AG275,1)</f>
        <v>46332</v>
      </c>
      <c r="AI275" s="86" cm="1">
        <f t="array" ref="AI275">WORKDAY(AH275,1)</f>
        <v>46335</v>
      </c>
      <c r="AJ275" s="145"/>
      <c r="AK275" s="56"/>
    </row>
    <row r="276" spans="1:37" ht="25.5" customHeight="1">
      <c r="A276" s="140" cm="1">
        <f t="array" ref="A276">A275+1</f>
        <v>261</v>
      </c>
      <c r="B276" s="79" t="s">
        <v>546</v>
      </c>
      <c r="C276" s="104">
        <v>2</v>
      </c>
      <c r="D276" s="79" t="s">
        <v>547</v>
      </c>
      <c r="E276" s="79" t="s">
        <v>548</v>
      </c>
      <c r="F276" s="79"/>
      <c r="G276" s="80" t="s">
        <v>503</v>
      </c>
      <c r="H276" s="81">
        <v>41858</v>
      </c>
      <c r="I276" s="79" t="s">
        <v>549</v>
      </c>
      <c r="J276" s="98"/>
      <c r="K276" s="100">
        <v>0</v>
      </c>
      <c r="L276" s="105" cm="1">
        <f t="array" ref="L276">WORKDAY(M276,-10)</f>
        <v>46149</v>
      </c>
      <c r="M276" s="85">
        <v>46163</v>
      </c>
      <c r="N276" s="86" cm="1">
        <f t="array" ref="N276">WORKDAY(M276,10)</f>
        <v>46177</v>
      </c>
      <c r="O276" s="87">
        <v>0</v>
      </c>
      <c r="P276" s="88">
        <v>0</v>
      </c>
      <c r="Q276" s="89">
        <v>46136</v>
      </c>
      <c r="R276" s="96">
        <v>46164</v>
      </c>
      <c r="S276" s="86" cm="1">
        <f t="array" ref="S276">WORKDAY(R276,10)</f>
        <v>46178</v>
      </c>
      <c r="T276" s="87">
        <v>0</v>
      </c>
      <c r="U276" s="91" t="s">
        <v>114</v>
      </c>
      <c r="V276" s="92">
        <v>0</v>
      </c>
      <c r="W276" s="93" cm="1">
        <f t="array" ref="W276">WORKDAY(X276,-20)</f>
        <v>46245</v>
      </c>
      <c r="X276" s="90">
        <v>46273</v>
      </c>
      <c r="Y276" s="88">
        <v>0</v>
      </c>
      <c r="Z276" s="93">
        <v>46288</v>
      </c>
      <c r="AA276" s="90">
        <v>46330</v>
      </c>
      <c r="AB276" s="88">
        <v>0</v>
      </c>
      <c r="AC276" s="79" t="s">
        <v>49</v>
      </c>
      <c r="AD276" s="79" t="s">
        <v>49</v>
      </c>
      <c r="AE276" s="90"/>
      <c r="AF276" s="88">
        <v>0</v>
      </c>
      <c r="AG276" s="93" cm="1">
        <f t="array" ref="AG276">WORKDAY(AA276,2)</f>
        <v>46332</v>
      </c>
      <c r="AH276" s="90" cm="1">
        <f t="array" ref="AH276">WORKDAY(AG276,1)</f>
        <v>46335</v>
      </c>
      <c r="AI276" s="86" cm="1">
        <f t="array" ref="AI276">WORKDAY(AH276,1)</f>
        <v>46336</v>
      </c>
      <c r="AJ276" s="145"/>
      <c r="AK276" s="56"/>
    </row>
    <row r="277" spans="1:37" ht="25.5" customHeight="1">
      <c r="A277" s="140" cm="1">
        <f t="array" ref="A277">A276+1</f>
        <v>262</v>
      </c>
      <c r="B277" s="79" t="s">
        <v>550</v>
      </c>
      <c r="C277" s="104">
        <v>2</v>
      </c>
      <c r="D277" s="79" t="s">
        <v>551</v>
      </c>
      <c r="E277" s="79" t="s">
        <v>552</v>
      </c>
      <c r="F277" s="79"/>
      <c r="G277" s="80" t="s">
        <v>528</v>
      </c>
      <c r="H277" s="81">
        <v>49908</v>
      </c>
      <c r="I277" s="79" t="s">
        <v>553</v>
      </c>
      <c r="J277" s="98"/>
      <c r="K277" s="100">
        <v>0</v>
      </c>
      <c r="L277" s="105" cm="1">
        <f t="array" ref="L277">WORKDAY(M277,-10)</f>
        <v>46149</v>
      </c>
      <c r="M277" s="85">
        <v>46163</v>
      </c>
      <c r="N277" s="86" cm="1">
        <f t="array" ref="N277">WORKDAY(M277,10)</f>
        <v>46177</v>
      </c>
      <c r="O277" s="87">
        <v>0</v>
      </c>
      <c r="P277" s="88">
        <v>0</v>
      </c>
      <c r="Q277" s="89">
        <v>46136</v>
      </c>
      <c r="R277" s="96">
        <v>46164</v>
      </c>
      <c r="S277" s="86" cm="1">
        <f t="array" ref="S277">WORKDAY(R277,10)</f>
        <v>46178</v>
      </c>
      <c r="T277" s="87">
        <v>0</v>
      </c>
      <c r="U277" s="91" t="s">
        <v>114</v>
      </c>
      <c r="V277" s="92">
        <v>0</v>
      </c>
      <c r="W277" s="93" cm="1">
        <f t="array" ref="W277">WORKDAY(X277,-20)</f>
        <v>46246</v>
      </c>
      <c r="X277" s="90">
        <v>46274</v>
      </c>
      <c r="Y277" s="88">
        <v>0</v>
      </c>
      <c r="Z277" s="93">
        <v>46288</v>
      </c>
      <c r="AA277" s="90">
        <v>46330</v>
      </c>
      <c r="AB277" s="88">
        <v>0</v>
      </c>
      <c r="AC277" s="79" t="s">
        <v>49</v>
      </c>
      <c r="AD277" s="79" t="s">
        <v>49</v>
      </c>
      <c r="AE277" s="90"/>
      <c r="AF277" s="88">
        <v>0</v>
      </c>
      <c r="AG277" s="93" cm="1">
        <f t="array" ref="AG277">WORKDAY(AA277,2)</f>
        <v>46332</v>
      </c>
      <c r="AH277" s="90" cm="1">
        <f t="array" ref="AH277">WORKDAY(AG277,1)</f>
        <v>46335</v>
      </c>
      <c r="AI277" s="86" cm="1">
        <f t="array" ref="AI277">WORKDAY(AH277,1)</f>
        <v>46336</v>
      </c>
      <c r="AJ277" s="145"/>
      <c r="AK277" s="56"/>
    </row>
    <row r="278" spans="1:37" ht="25.5" customHeight="1">
      <c r="A278" s="140" cm="1">
        <f t="array" ref="A278">A277+1</f>
        <v>263</v>
      </c>
      <c r="B278" s="79" t="s">
        <v>1375</v>
      </c>
      <c r="C278" s="104">
        <v>2</v>
      </c>
      <c r="D278" s="79" t="s">
        <v>1120</v>
      </c>
      <c r="E278" s="79" t="s">
        <v>1376</v>
      </c>
      <c r="F278" s="79" t="s">
        <v>78</v>
      </c>
      <c r="G278" s="80" t="s">
        <v>1267</v>
      </c>
      <c r="H278" s="81">
        <v>67516</v>
      </c>
      <c r="I278" s="109"/>
      <c r="J278" s="110">
        <v>114</v>
      </c>
      <c r="K278" s="107" t="s">
        <v>1125</v>
      </c>
      <c r="L278" s="84">
        <v>46099</v>
      </c>
      <c r="M278" s="85">
        <v>46115</v>
      </c>
      <c r="N278" s="86" cm="1">
        <f t="array" ref="N278">WORKDAY(M278,10)</f>
        <v>46129</v>
      </c>
      <c r="O278" s="87">
        <v>0</v>
      </c>
      <c r="P278" s="88">
        <v>0</v>
      </c>
      <c r="Q278" s="89">
        <v>46136</v>
      </c>
      <c r="R278" s="96">
        <v>46164</v>
      </c>
      <c r="S278" s="86" cm="1">
        <f t="array" ref="S278">WORKDAY(R278,10)</f>
        <v>46178</v>
      </c>
      <c r="T278" s="87">
        <v>0</v>
      </c>
      <c r="U278" s="91" t="s">
        <v>105</v>
      </c>
      <c r="V278" s="92">
        <v>0</v>
      </c>
      <c r="W278" s="93" cm="1">
        <f t="array" ref="W278">WORKDAY(X278,-20)</f>
        <v>46233</v>
      </c>
      <c r="X278" s="90">
        <v>46261</v>
      </c>
      <c r="Y278" s="88">
        <v>0</v>
      </c>
      <c r="Z278" s="93">
        <v>46266</v>
      </c>
      <c r="AA278" s="90">
        <v>46330</v>
      </c>
      <c r="AB278" s="88">
        <v>0</v>
      </c>
      <c r="AC278" s="79" t="s">
        <v>49</v>
      </c>
      <c r="AD278" s="79" t="s">
        <v>49</v>
      </c>
      <c r="AE278" s="90"/>
      <c r="AF278" s="88">
        <v>0</v>
      </c>
      <c r="AG278" s="93" cm="1">
        <f t="array" ref="AG278">WORKDAY(AA278,2)</f>
        <v>46332</v>
      </c>
      <c r="AH278" s="90" cm="1">
        <f t="array" ref="AH278">WORKDAY(AG278,1)</f>
        <v>46335</v>
      </c>
      <c r="AI278" s="86" cm="1">
        <f t="array" ref="AI278">WORKDAY(AH278,1)</f>
        <v>46336</v>
      </c>
      <c r="AJ278" s="145"/>
      <c r="AK278" s="56"/>
    </row>
    <row r="279" spans="1:37" ht="25.5" customHeight="1">
      <c r="A279" s="140" cm="1">
        <f t="array" ref="A279">A278+1</f>
        <v>264</v>
      </c>
      <c r="B279" s="79" t="s">
        <v>554</v>
      </c>
      <c r="C279" s="104">
        <v>2</v>
      </c>
      <c r="D279" s="79" t="s">
        <v>555</v>
      </c>
      <c r="E279" s="79" t="s">
        <v>556</v>
      </c>
      <c r="F279" s="79"/>
      <c r="G279" s="80" t="s">
        <v>394</v>
      </c>
      <c r="H279" s="81">
        <v>42091</v>
      </c>
      <c r="I279" s="79" t="s">
        <v>557</v>
      </c>
      <c r="J279" s="98"/>
      <c r="K279" s="100">
        <v>0</v>
      </c>
      <c r="L279" s="105" cm="1">
        <f t="array" ref="L279">WORKDAY(M279,-10)</f>
        <v>46149</v>
      </c>
      <c r="M279" s="85">
        <v>46163</v>
      </c>
      <c r="N279" s="86" cm="1">
        <f t="array" ref="N279">WORKDAY(M279,10)</f>
        <v>46177</v>
      </c>
      <c r="O279" s="87">
        <v>0</v>
      </c>
      <c r="P279" s="88">
        <v>0</v>
      </c>
      <c r="Q279" s="89">
        <v>46136</v>
      </c>
      <c r="R279" s="96">
        <v>46164</v>
      </c>
      <c r="S279" s="86" cm="1">
        <f t="array" ref="S279">WORKDAY(R279,10)</f>
        <v>46178</v>
      </c>
      <c r="T279" s="87">
        <v>0</v>
      </c>
      <c r="U279" s="91" t="s">
        <v>114</v>
      </c>
      <c r="V279" s="92">
        <v>0</v>
      </c>
      <c r="W279" s="93" cm="1">
        <f t="array" ref="W279">WORKDAY(X279,-20)</f>
        <v>46247</v>
      </c>
      <c r="X279" s="90">
        <v>46275</v>
      </c>
      <c r="Y279" s="88">
        <v>0</v>
      </c>
      <c r="Z279" s="93">
        <v>46289</v>
      </c>
      <c r="AA279" s="90">
        <v>46331</v>
      </c>
      <c r="AB279" s="88">
        <v>0</v>
      </c>
      <c r="AC279" s="79" t="s">
        <v>49</v>
      </c>
      <c r="AD279" s="79" t="s">
        <v>49</v>
      </c>
      <c r="AE279" s="90"/>
      <c r="AF279" s="88">
        <v>0</v>
      </c>
      <c r="AG279" s="93" cm="1">
        <f t="array" ref="AG279">WORKDAY(AA279,2)</f>
        <v>46335</v>
      </c>
      <c r="AH279" s="90" cm="1">
        <f t="array" ref="AH279">WORKDAY(AG279,1)</f>
        <v>46336</v>
      </c>
      <c r="AI279" s="86" cm="1">
        <f t="array" ref="AI279">WORKDAY(AH279,1)</f>
        <v>46337</v>
      </c>
      <c r="AJ279" s="145"/>
      <c r="AK279" s="56"/>
    </row>
    <row r="280" spans="1:37" ht="25.5" customHeight="1">
      <c r="A280" s="140" cm="1">
        <f t="array" ref="A280">A279+1</f>
        <v>265</v>
      </c>
      <c r="B280" s="79" t="s">
        <v>558</v>
      </c>
      <c r="C280" s="104">
        <v>2</v>
      </c>
      <c r="D280" s="79" t="s">
        <v>559</v>
      </c>
      <c r="E280" s="79" t="s">
        <v>560</v>
      </c>
      <c r="F280" s="79"/>
      <c r="G280" s="80" t="s">
        <v>394</v>
      </c>
      <c r="H280" s="81">
        <v>33403</v>
      </c>
      <c r="I280" s="79" t="s">
        <v>561</v>
      </c>
      <c r="J280" s="98"/>
      <c r="K280" s="100">
        <v>0</v>
      </c>
      <c r="L280" s="105" cm="1">
        <f t="array" ref="L280">WORKDAY(M280,-10)</f>
        <v>46149</v>
      </c>
      <c r="M280" s="85">
        <v>46163</v>
      </c>
      <c r="N280" s="86" cm="1">
        <f t="array" ref="N280">WORKDAY(M280,10)</f>
        <v>46177</v>
      </c>
      <c r="O280" s="87">
        <v>0</v>
      </c>
      <c r="P280" s="88">
        <v>0</v>
      </c>
      <c r="Q280" s="89">
        <v>46136</v>
      </c>
      <c r="R280" s="96">
        <v>46164</v>
      </c>
      <c r="S280" s="86" cm="1">
        <f t="array" ref="S280">WORKDAY(R280,10)</f>
        <v>46178</v>
      </c>
      <c r="T280" s="87">
        <v>0</v>
      </c>
      <c r="U280" s="91" t="s">
        <v>114</v>
      </c>
      <c r="V280" s="92">
        <v>0</v>
      </c>
      <c r="W280" s="93" cm="1">
        <f t="array" ref="W280">WORKDAY(X280,-20)</f>
        <v>46248</v>
      </c>
      <c r="X280" s="90">
        <v>46276</v>
      </c>
      <c r="Y280" s="88">
        <v>0</v>
      </c>
      <c r="Z280" s="93">
        <v>46289</v>
      </c>
      <c r="AA280" s="90">
        <v>46331</v>
      </c>
      <c r="AB280" s="88">
        <v>0</v>
      </c>
      <c r="AC280" s="79" t="s">
        <v>49</v>
      </c>
      <c r="AD280" s="79" t="s">
        <v>49</v>
      </c>
      <c r="AE280" s="90"/>
      <c r="AF280" s="88">
        <v>0</v>
      </c>
      <c r="AG280" s="93" cm="1">
        <f t="array" ref="AG280">WORKDAY(AA280,2)</f>
        <v>46335</v>
      </c>
      <c r="AH280" s="90" cm="1">
        <f t="array" ref="AH280">WORKDAY(AG280,1)</f>
        <v>46336</v>
      </c>
      <c r="AI280" s="86" cm="1">
        <f t="array" ref="AI280">WORKDAY(AH280,1)</f>
        <v>46337</v>
      </c>
      <c r="AJ280" s="145"/>
      <c r="AK280" s="56"/>
    </row>
    <row r="281" spans="1:37" ht="25.5" customHeight="1">
      <c r="A281" s="140" cm="1">
        <f t="array" ref="A281">A280+1</f>
        <v>266</v>
      </c>
      <c r="B281" s="79" t="s">
        <v>1377</v>
      </c>
      <c r="C281" s="104">
        <v>2</v>
      </c>
      <c r="D281" s="79" t="s">
        <v>1120</v>
      </c>
      <c r="E281" s="79" t="s">
        <v>1378</v>
      </c>
      <c r="F281" s="79" t="s">
        <v>78</v>
      </c>
      <c r="G281" s="80" t="s">
        <v>1267</v>
      </c>
      <c r="H281" s="81">
        <v>67516</v>
      </c>
      <c r="I281" s="109"/>
      <c r="J281" s="110">
        <v>115</v>
      </c>
      <c r="K281" s="107" t="s">
        <v>1125</v>
      </c>
      <c r="L281" s="84">
        <v>46099</v>
      </c>
      <c r="M281" s="85">
        <v>46115</v>
      </c>
      <c r="N281" s="86" cm="1">
        <f t="array" ref="N281">WORKDAY(M281,10)</f>
        <v>46129</v>
      </c>
      <c r="O281" s="87">
        <v>0</v>
      </c>
      <c r="P281" s="88">
        <v>0</v>
      </c>
      <c r="Q281" s="89">
        <v>46136</v>
      </c>
      <c r="R281" s="96">
        <v>46164</v>
      </c>
      <c r="S281" s="86" cm="1">
        <f t="array" ref="S281">WORKDAY(R281,10)</f>
        <v>46178</v>
      </c>
      <c r="T281" s="87">
        <v>0</v>
      </c>
      <c r="U281" s="91" t="s">
        <v>105</v>
      </c>
      <c r="V281" s="92">
        <v>0</v>
      </c>
      <c r="W281" s="93" cm="1">
        <f t="array" ref="W281">WORKDAY(X281,-20)</f>
        <v>46234</v>
      </c>
      <c r="X281" s="90">
        <v>46262</v>
      </c>
      <c r="Y281" s="88">
        <v>0</v>
      </c>
      <c r="Z281" s="93">
        <v>46267</v>
      </c>
      <c r="AA281" s="90">
        <v>46331</v>
      </c>
      <c r="AB281" s="88">
        <v>0</v>
      </c>
      <c r="AC281" s="79" t="s">
        <v>49</v>
      </c>
      <c r="AD281" s="79" t="s">
        <v>49</v>
      </c>
      <c r="AE281" s="90"/>
      <c r="AF281" s="88">
        <v>0</v>
      </c>
      <c r="AG281" s="93" cm="1">
        <f t="array" ref="AG281">WORKDAY(AA281,2)</f>
        <v>46335</v>
      </c>
      <c r="AH281" s="90" cm="1">
        <f t="array" ref="AH281">WORKDAY(AG281,1)</f>
        <v>46336</v>
      </c>
      <c r="AI281" s="86" cm="1">
        <f t="array" ref="AI281">WORKDAY(AH281,1)</f>
        <v>46337</v>
      </c>
      <c r="AJ281" s="145"/>
      <c r="AK281" s="56"/>
    </row>
    <row r="282" spans="1:37" ht="25.5" customHeight="1">
      <c r="A282" s="140" cm="1">
        <f t="array" ref="A282">A281+1</f>
        <v>267</v>
      </c>
      <c r="B282" s="79" t="s">
        <v>562</v>
      </c>
      <c r="C282" s="104">
        <v>2</v>
      </c>
      <c r="D282" s="79" t="s">
        <v>563</v>
      </c>
      <c r="E282" s="79" t="s">
        <v>564</v>
      </c>
      <c r="F282" s="79"/>
      <c r="G282" s="80" t="s">
        <v>483</v>
      </c>
      <c r="H282" s="81">
        <v>42818</v>
      </c>
      <c r="I282" s="79" t="s">
        <v>565</v>
      </c>
      <c r="J282" s="98"/>
      <c r="K282" s="100">
        <v>0</v>
      </c>
      <c r="L282" s="105" cm="1">
        <f t="array" ref="L282">WORKDAY(M282,-10)</f>
        <v>46149</v>
      </c>
      <c r="M282" s="85">
        <v>46163</v>
      </c>
      <c r="N282" s="86" cm="1">
        <f t="array" ref="N282">WORKDAY(M282,10)</f>
        <v>46177</v>
      </c>
      <c r="O282" s="87">
        <v>0</v>
      </c>
      <c r="P282" s="88">
        <v>0</v>
      </c>
      <c r="Q282" s="89">
        <v>46136</v>
      </c>
      <c r="R282" s="96">
        <v>46164</v>
      </c>
      <c r="S282" s="86" cm="1">
        <f t="array" ref="S282">WORKDAY(R282,10)</f>
        <v>46178</v>
      </c>
      <c r="T282" s="87">
        <v>0</v>
      </c>
      <c r="U282" s="91" t="s">
        <v>105</v>
      </c>
      <c r="V282" s="92">
        <v>0</v>
      </c>
      <c r="W282" s="93" cm="1">
        <f t="array" ref="W282">WORKDAY(X282,-20)</f>
        <v>46253</v>
      </c>
      <c r="X282" s="90">
        <v>46281</v>
      </c>
      <c r="Y282" s="88">
        <v>0</v>
      </c>
      <c r="Z282" s="93">
        <v>46290</v>
      </c>
      <c r="AA282" s="90">
        <v>46332</v>
      </c>
      <c r="AB282" s="88">
        <v>0</v>
      </c>
      <c r="AC282" s="79" t="s">
        <v>49</v>
      </c>
      <c r="AD282" s="79" t="s">
        <v>49</v>
      </c>
      <c r="AE282" s="90"/>
      <c r="AF282" s="88">
        <v>0</v>
      </c>
      <c r="AG282" s="93" cm="1">
        <f t="array" ref="AG282">WORKDAY(AA282,2)</f>
        <v>46336</v>
      </c>
      <c r="AH282" s="90" cm="1">
        <f t="array" ref="AH282">WORKDAY(AG282,1)</f>
        <v>46337</v>
      </c>
      <c r="AI282" s="86" cm="1">
        <f t="array" ref="AI282">WORKDAY(AH282,1)</f>
        <v>46338</v>
      </c>
      <c r="AJ282" s="145"/>
      <c r="AK282" s="56"/>
    </row>
    <row r="283" spans="1:37" ht="25.5" customHeight="1">
      <c r="A283" s="140" cm="1">
        <f t="array" ref="A283">A282+1</f>
        <v>268</v>
      </c>
      <c r="B283" s="79" t="s">
        <v>566</v>
      </c>
      <c r="C283" s="104">
        <v>2</v>
      </c>
      <c r="D283" s="79" t="s">
        <v>567</v>
      </c>
      <c r="E283" s="79" t="s">
        <v>568</v>
      </c>
      <c r="F283" s="79"/>
      <c r="G283" s="80" t="s">
        <v>463</v>
      </c>
      <c r="H283" s="81">
        <v>40533</v>
      </c>
      <c r="I283" s="79" t="s">
        <v>569</v>
      </c>
      <c r="J283" s="98"/>
      <c r="K283" s="100">
        <v>0</v>
      </c>
      <c r="L283" s="105" cm="1">
        <f t="array" ref="L283">WORKDAY(M283,-10)</f>
        <v>46149</v>
      </c>
      <c r="M283" s="85">
        <v>46163</v>
      </c>
      <c r="N283" s="86" cm="1">
        <f t="array" ref="N283">WORKDAY(M283,10)</f>
        <v>46177</v>
      </c>
      <c r="O283" s="87">
        <v>0</v>
      </c>
      <c r="P283" s="88">
        <v>0</v>
      </c>
      <c r="Q283" s="89">
        <v>46136</v>
      </c>
      <c r="R283" s="96">
        <v>46164</v>
      </c>
      <c r="S283" s="86" cm="1">
        <f t="array" ref="S283">WORKDAY(R283,10)</f>
        <v>46178</v>
      </c>
      <c r="T283" s="87">
        <v>0</v>
      </c>
      <c r="U283" s="91" t="s">
        <v>105</v>
      </c>
      <c r="V283" s="92">
        <v>0</v>
      </c>
      <c r="W283" s="93" cm="1">
        <f t="array" ref="W283">WORKDAY(X283,-20)</f>
        <v>46254</v>
      </c>
      <c r="X283" s="90">
        <v>46282</v>
      </c>
      <c r="Y283" s="88">
        <v>0</v>
      </c>
      <c r="Z283" s="93">
        <v>46290</v>
      </c>
      <c r="AA283" s="90">
        <v>46332</v>
      </c>
      <c r="AB283" s="88">
        <v>0</v>
      </c>
      <c r="AC283" s="79" t="s">
        <v>49</v>
      </c>
      <c r="AD283" s="79" t="s">
        <v>49</v>
      </c>
      <c r="AE283" s="90"/>
      <c r="AF283" s="88">
        <v>0</v>
      </c>
      <c r="AG283" s="93" cm="1">
        <f t="array" ref="AG283">WORKDAY(AA283,2)</f>
        <v>46336</v>
      </c>
      <c r="AH283" s="90" cm="1">
        <f t="array" ref="AH283">WORKDAY(AG283,1)</f>
        <v>46337</v>
      </c>
      <c r="AI283" s="86" cm="1">
        <f t="array" ref="AI283">WORKDAY(AH283,1)</f>
        <v>46338</v>
      </c>
      <c r="AJ283" s="145"/>
      <c r="AK283" s="56"/>
    </row>
    <row r="284" spans="1:37" ht="25.5" customHeight="1">
      <c r="A284" s="140" cm="1">
        <f t="array" ref="A284">A283+1</f>
        <v>269</v>
      </c>
      <c r="B284" s="79" t="s">
        <v>1379</v>
      </c>
      <c r="C284" s="104">
        <v>2</v>
      </c>
      <c r="D284" s="79" t="s">
        <v>1120</v>
      </c>
      <c r="E284" s="79" t="s">
        <v>1380</v>
      </c>
      <c r="F284" s="79" t="s">
        <v>78</v>
      </c>
      <c r="G284" s="80" t="s">
        <v>1267</v>
      </c>
      <c r="H284" s="81">
        <v>67516</v>
      </c>
      <c r="I284" s="109"/>
      <c r="J284" s="110">
        <v>116</v>
      </c>
      <c r="K284" s="107" t="s">
        <v>1125</v>
      </c>
      <c r="L284" s="84">
        <v>46099</v>
      </c>
      <c r="M284" s="85">
        <v>46115</v>
      </c>
      <c r="N284" s="86" cm="1">
        <f t="array" ref="N284">WORKDAY(M284,10)</f>
        <v>46129</v>
      </c>
      <c r="O284" s="87">
        <v>0</v>
      </c>
      <c r="P284" s="88">
        <v>0</v>
      </c>
      <c r="Q284" s="89">
        <v>46136</v>
      </c>
      <c r="R284" s="96">
        <v>46164</v>
      </c>
      <c r="S284" s="86" cm="1">
        <f t="array" ref="S284">WORKDAY(R284,10)</f>
        <v>46178</v>
      </c>
      <c r="T284" s="87">
        <v>0</v>
      </c>
      <c r="U284" s="91" t="s">
        <v>105</v>
      </c>
      <c r="V284" s="92">
        <v>0</v>
      </c>
      <c r="W284" s="93" cm="1">
        <f t="array" ref="W284">WORKDAY(X284,-20)</f>
        <v>46237</v>
      </c>
      <c r="X284" s="90">
        <v>46265</v>
      </c>
      <c r="Y284" s="88">
        <v>0</v>
      </c>
      <c r="Z284" s="93">
        <v>46268</v>
      </c>
      <c r="AA284" s="90">
        <v>46332</v>
      </c>
      <c r="AB284" s="88">
        <v>0</v>
      </c>
      <c r="AC284" s="79" t="s">
        <v>49</v>
      </c>
      <c r="AD284" s="79" t="s">
        <v>49</v>
      </c>
      <c r="AE284" s="90"/>
      <c r="AF284" s="88">
        <v>0</v>
      </c>
      <c r="AG284" s="93" cm="1">
        <f t="array" ref="AG284">WORKDAY(AA284,2)</f>
        <v>46336</v>
      </c>
      <c r="AH284" s="90" cm="1">
        <f t="array" ref="AH284">WORKDAY(AG284,1)</f>
        <v>46337</v>
      </c>
      <c r="AI284" s="86" cm="1">
        <f t="array" ref="AI284">WORKDAY(AH284,1)</f>
        <v>46338</v>
      </c>
      <c r="AJ284" s="145"/>
      <c r="AK284" s="56"/>
    </row>
    <row r="285" spans="1:37" ht="25.5" customHeight="1">
      <c r="A285" s="140" cm="1">
        <f t="array" ref="A285">A284+1</f>
        <v>270</v>
      </c>
      <c r="B285" s="79" t="s">
        <v>570</v>
      </c>
      <c r="C285" s="95">
        <v>3</v>
      </c>
      <c r="D285" s="79" t="s">
        <v>571</v>
      </c>
      <c r="E285" s="79" t="s">
        <v>572</v>
      </c>
      <c r="F285" s="79"/>
      <c r="G285" s="80" t="s">
        <v>113</v>
      </c>
      <c r="H285" s="81">
        <v>32234</v>
      </c>
      <c r="I285" s="79" t="s">
        <v>573</v>
      </c>
      <c r="J285" s="98"/>
      <c r="K285" s="100">
        <v>0</v>
      </c>
      <c r="L285" s="105" cm="1">
        <f t="array" ref="L285">WORKDAY(M285,-20)</f>
        <v>46171</v>
      </c>
      <c r="M285" s="85">
        <v>46199</v>
      </c>
      <c r="N285" s="86" cm="1">
        <f t="array" ref="N285">WORKDAY(M285,10)</f>
        <v>46213</v>
      </c>
      <c r="O285" s="87">
        <v>0</v>
      </c>
      <c r="P285" s="88">
        <v>0</v>
      </c>
      <c r="Q285" s="89">
        <v>46167</v>
      </c>
      <c r="R285" s="96">
        <v>46195</v>
      </c>
      <c r="S285" s="86" cm="1">
        <f t="array" ref="S285">WORKDAY(R285,10)</f>
        <v>46209</v>
      </c>
      <c r="T285" s="87">
        <v>0</v>
      </c>
      <c r="U285" s="91" t="s">
        <v>114</v>
      </c>
      <c r="V285" s="92">
        <v>0</v>
      </c>
      <c r="W285" s="93" cm="1">
        <f t="array" ref="W285">WORKDAY(X285,-20)</f>
        <v>46251</v>
      </c>
      <c r="X285" s="90">
        <v>46279</v>
      </c>
      <c r="Y285" s="88">
        <v>0</v>
      </c>
      <c r="Z285" s="93">
        <v>46293</v>
      </c>
      <c r="AA285" s="90">
        <v>46335</v>
      </c>
      <c r="AB285" s="88">
        <v>0</v>
      </c>
      <c r="AC285" s="79" t="s">
        <v>49</v>
      </c>
      <c r="AD285" s="79" t="s">
        <v>49</v>
      </c>
      <c r="AE285" s="90"/>
      <c r="AF285" s="88">
        <v>0</v>
      </c>
      <c r="AG285" s="93" cm="1">
        <f t="array" ref="AG285">WORKDAY(AA285,2)</f>
        <v>46337</v>
      </c>
      <c r="AH285" s="90" cm="1">
        <f t="array" ref="AH285">WORKDAY(AG285,1)</f>
        <v>46338</v>
      </c>
      <c r="AI285" s="86" cm="1">
        <f t="array" ref="AI285">WORKDAY(AH285,1)</f>
        <v>46339</v>
      </c>
      <c r="AJ285" s="145"/>
      <c r="AK285" s="56"/>
    </row>
    <row r="286" spans="1:37" ht="25.5" customHeight="1">
      <c r="A286" s="140" cm="1">
        <f t="array" ref="A286">A285+1</f>
        <v>271</v>
      </c>
      <c r="B286" s="79" t="s">
        <v>574</v>
      </c>
      <c r="C286" s="95">
        <v>3</v>
      </c>
      <c r="D286" s="79" t="s">
        <v>575</v>
      </c>
      <c r="E286" s="79" t="s">
        <v>576</v>
      </c>
      <c r="F286" s="79"/>
      <c r="G286" s="80" t="s">
        <v>113</v>
      </c>
      <c r="H286" s="81">
        <v>32234</v>
      </c>
      <c r="I286" s="79" t="s">
        <v>577</v>
      </c>
      <c r="J286" s="98"/>
      <c r="K286" s="100">
        <v>0</v>
      </c>
      <c r="L286" s="105" cm="1">
        <f t="array" ref="L286">WORKDAY(M286,-20)</f>
        <v>46171</v>
      </c>
      <c r="M286" s="85">
        <v>46199</v>
      </c>
      <c r="N286" s="86" cm="1">
        <f t="array" ref="N286">WORKDAY(M286,10)</f>
        <v>46213</v>
      </c>
      <c r="O286" s="87">
        <v>0</v>
      </c>
      <c r="P286" s="88">
        <v>0</v>
      </c>
      <c r="Q286" s="89">
        <v>46167</v>
      </c>
      <c r="R286" s="96">
        <v>46195</v>
      </c>
      <c r="S286" s="86" cm="1">
        <f t="array" ref="S286">WORKDAY(R286,10)</f>
        <v>46209</v>
      </c>
      <c r="T286" s="87">
        <v>0</v>
      </c>
      <c r="U286" s="91" t="s">
        <v>114</v>
      </c>
      <c r="V286" s="92">
        <v>0</v>
      </c>
      <c r="W286" s="93" cm="1">
        <f t="array" ref="W286">WORKDAY(X286,-20)</f>
        <v>46252</v>
      </c>
      <c r="X286" s="90">
        <v>46280</v>
      </c>
      <c r="Y286" s="88">
        <v>0</v>
      </c>
      <c r="Z286" s="93">
        <v>46293</v>
      </c>
      <c r="AA286" s="90">
        <v>46335</v>
      </c>
      <c r="AB286" s="88">
        <v>0</v>
      </c>
      <c r="AC286" s="79" t="s">
        <v>49</v>
      </c>
      <c r="AD286" s="79" t="s">
        <v>49</v>
      </c>
      <c r="AE286" s="90"/>
      <c r="AF286" s="88">
        <v>0</v>
      </c>
      <c r="AG286" s="93" cm="1">
        <f t="array" ref="AG286">WORKDAY(AA286,2)</f>
        <v>46337</v>
      </c>
      <c r="AH286" s="90" cm="1">
        <f t="array" ref="AH286">WORKDAY(AG286,1)</f>
        <v>46338</v>
      </c>
      <c r="AI286" s="86" cm="1">
        <f t="array" ref="AI286">WORKDAY(AH286,1)</f>
        <v>46339</v>
      </c>
      <c r="AJ286" s="145"/>
      <c r="AK286" s="56"/>
    </row>
    <row r="287" spans="1:37" ht="25.5" customHeight="1">
      <c r="A287" s="140" cm="1">
        <f t="array" ref="A287">A286+1</f>
        <v>272</v>
      </c>
      <c r="B287" s="79" t="s">
        <v>1381</v>
      </c>
      <c r="C287" s="104">
        <v>2</v>
      </c>
      <c r="D287" s="79" t="s">
        <v>1120</v>
      </c>
      <c r="E287" s="79" t="s">
        <v>1382</v>
      </c>
      <c r="F287" s="79" t="s">
        <v>78</v>
      </c>
      <c r="G287" s="80" t="s">
        <v>1267</v>
      </c>
      <c r="H287" s="81">
        <v>67516</v>
      </c>
      <c r="I287" s="109"/>
      <c r="J287" s="110">
        <v>117</v>
      </c>
      <c r="K287" s="107" t="s">
        <v>1125</v>
      </c>
      <c r="L287" s="84">
        <v>46099</v>
      </c>
      <c r="M287" s="85">
        <v>46115</v>
      </c>
      <c r="N287" s="86" cm="1">
        <f t="array" ref="N287">WORKDAY(M287,10)</f>
        <v>46129</v>
      </c>
      <c r="O287" s="87">
        <v>0</v>
      </c>
      <c r="P287" s="88">
        <v>0</v>
      </c>
      <c r="Q287" s="89">
        <v>46136</v>
      </c>
      <c r="R287" s="96">
        <v>46164</v>
      </c>
      <c r="S287" s="86" cm="1">
        <f t="array" ref="S287">WORKDAY(R287,10)</f>
        <v>46178</v>
      </c>
      <c r="T287" s="87">
        <v>0</v>
      </c>
      <c r="U287" s="91" t="s">
        <v>105</v>
      </c>
      <c r="V287" s="92">
        <v>0</v>
      </c>
      <c r="W287" s="93" cm="1">
        <f t="array" ref="W287">WORKDAY(X287,-20)</f>
        <v>46238</v>
      </c>
      <c r="X287" s="90">
        <v>46266</v>
      </c>
      <c r="Y287" s="88">
        <v>0</v>
      </c>
      <c r="Z287" s="93">
        <v>46269</v>
      </c>
      <c r="AA287" s="90">
        <v>46335</v>
      </c>
      <c r="AB287" s="88">
        <v>0</v>
      </c>
      <c r="AC287" s="79" t="s">
        <v>49</v>
      </c>
      <c r="AD287" s="79" t="s">
        <v>49</v>
      </c>
      <c r="AE287" s="90"/>
      <c r="AF287" s="88">
        <v>0</v>
      </c>
      <c r="AG287" s="93" cm="1">
        <f t="array" ref="AG287">WORKDAY(AA287,2)</f>
        <v>46337</v>
      </c>
      <c r="AH287" s="90" cm="1">
        <f t="array" ref="AH287">WORKDAY(AG287,1)</f>
        <v>46338</v>
      </c>
      <c r="AI287" s="86" cm="1">
        <f t="array" ref="AI287">WORKDAY(AH287,1)</f>
        <v>46339</v>
      </c>
      <c r="AJ287" s="145"/>
      <c r="AK287" s="56"/>
    </row>
    <row r="288" spans="1:37" ht="25.5" customHeight="1">
      <c r="A288" s="140" cm="1">
        <f t="array" ref="A288">A287+1</f>
        <v>273</v>
      </c>
      <c r="B288" s="79" t="s">
        <v>578</v>
      </c>
      <c r="C288" s="95">
        <v>3</v>
      </c>
      <c r="D288" s="79" t="s">
        <v>575</v>
      </c>
      <c r="E288" s="79" t="s">
        <v>579</v>
      </c>
      <c r="F288" s="79"/>
      <c r="G288" s="80" t="s">
        <v>113</v>
      </c>
      <c r="H288" s="81">
        <v>32234</v>
      </c>
      <c r="I288" s="79" t="s">
        <v>580</v>
      </c>
      <c r="J288" s="98"/>
      <c r="K288" s="100">
        <v>0</v>
      </c>
      <c r="L288" s="105" cm="1">
        <f t="array" ref="L288">WORKDAY(M288,-20)</f>
        <v>46171</v>
      </c>
      <c r="M288" s="85">
        <v>46199</v>
      </c>
      <c r="N288" s="86" cm="1">
        <f t="array" ref="N288">WORKDAY(M288,10)</f>
        <v>46213</v>
      </c>
      <c r="O288" s="87">
        <v>0</v>
      </c>
      <c r="P288" s="88">
        <v>0</v>
      </c>
      <c r="Q288" s="89">
        <v>46167</v>
      </c>
      <c r="R288" s="96">
        <v>46195</v>
      </c>
      <c r="S288" s="86" cm="1">
        <f t="array" ref="S288">WORKDAY(R288,10)</f>
        <v>46209</v>
      </c>
      <c r="T288" s="87">
        <v>0</v>
      </c>
      <c r="U288" s="91" t="s">
        <v>114</v>
      </c>
      <c r="V288" s="92">
        <v>0</v>
      </c>
      <c r="W288" s="93" cm="1">
        <f t="array" ref="W288">WORKDAY(X288,-20)</f>
        <v>46253</v>
      </c>
      <c r="X288" s="90">
        <v>46281</v>
      </c>
      <c r="Y288" s="88">
        <v>0</v>
      </c>
      <c r="Z288" s="93">
        <v>46294</v>
      </c>
      <c r="AA288" s="90">
        <v>46336</v>
      </c>
      <c r="AB288" s="88">
        <v>0</v>
      </c>
      <c r="AC288" s="79" t="s">
        <v>49</v>
      </c>
      <c r="AD288" s="79" t="s">
        <v>49</v>
      </c>
      <c r="AE288" s="90"/>
      <c r="AF288" s="88">
        <v>0</v>
      </c>
      <c r="AG288" s="93" cm="1">
        <f t="array" ref="AG288">WORKDAY(AA288,2)</f>
        <v>46338</v>
      </c>
      <c r="AH288" s="90" cm="1">
        <f t="array" ref="AH288">WORKDAY(AG288,1)</f>
        <v>46339</v>
      </c>
      <c r="AI288" s="86" cm="1">
        <f t="array" ref="AI288">WORKDAY(AH288,1)</f>
        <v>46342</v>
      </c>
      <c r="AJ288" s="145"/>
      <c r="AK288" s="56"/>
    </row>
    <row r="289" spans="1:37" ht="25.5" customHeight="1">
      <c r="A289" s="140" cm="1">
        <f t="array" ref="A289">A288+1</f>
        <v>274</v>
      </c>
      <c r="B289" s="79" t="s">
        <v>581</v>
      </c>
      <c r="C289" s="95">
        <v>3</v>
      </c>
      <c r="D289" s="79" t="s">
        <v>575</v>
      </c>
      <c r="E289" s="79" t="s">
        <v>582</v>
      </c>
      <c r="F289" s="79"/>
      <c r="G289" s="80" t="s">
        <v>113</v>
      </c>
      <c r="H289" s="81">
        <v>32234</v>
      </c>
      <c r="I289" s="79" t="s">
        <v>583</v>
      </c>
      <c r="J289" s="98"/>
      <c r="K289" s="100">
        <v>0</v>
      </c>
      <c r="L289" s="105" cm="1">
        <f t="array" ref="L289">WORKDAY(M289,-20)</f>
        <v>46171</v>
      </c>
      <c r="M289" s="85">
        <v>46199</v>
      </c>
      <c r="N289" s="86" cm="1">
        <f t="array" ref="N289">WORKDAY(M289,10)</f>
        <v>46213</v>
      </c>
      <c r="O289" s="87">
        <v>0</v>
      </c>
      <c r="P289" s="88">
        <v>0</v>
      </c>
      <c r="Q289" s="89">
        <v>46167</v>
      </c>
      <c r="R289" s="96">
        <v>46195</v>
      </c>
      <c r="S289" s="86" cm="1">
        <f t="array" ref="S289">WORKDAY(R289,10)</f>
        <v>46209</v>
      </c>
      <c r="T289" s="87">
        <v>0</v>
      </c>
      <c r="U289" s="91" t="s">
        <v>114</v>
      </c>
      <c r="V289" s="92">
        <v>0</v>
      </c>
      <c r="W289" s="93" cm="1">
        <f t="array" ref="W289">WORKDAY(X289,-20)</f>
        <v>46254</v>
      </c>
      <c r="X289" s="90">
        <v>46282</v>
      </c>
      <c r="Y289" s="88">
        <v>0</v>
      </c>
      <c r="Z289" s="93">
        <v>46294</v>
      </c>
      <c r="AA289" s="90">
        <v>46336</v>
      </c>
      <c r="AB289" s="88">
        <v>0</v>
      </c>
      <c r="AC289" s="79" t="s">
        <v>49</v>
      </c>
      <c r="AD289" s="79" t="s">
        <v>49</v>
      </c>
      <c r="AE289" s="90"/>
      <c r="AF289" s="88">
        <v>0</v>
      </c>
      <c r="AG289" s="93" cm="1">
        <f t="array" ref="AG289">WORKDAY(AA289,2)</f>
        <v>46338</v>
      </c>
      <c r="AH289" s="90" cm="1">
        <f t="array" ref="AH289">WORKDAY(AG289,1)</f>
        <v>46339</v>
      </c>
      <c r="AI289" s="86" cm="1">
        <f t="array" ref="AI289">WORKDAY(AH289,1)</f>
        <v>46342</v>
      </c>
      <c r="AJ289" s="145"/>
      <c r="AK289" s="56"/>
    </row>
    <row r="290" spans="1:37" ht="25.5" customHeight="1">
      <c r="A290" s="140" cm="1">
        <f t="array" ref="A290">A289+1</f>
        <v>275</v>
      </c>
      <c r="B290" s="79" t="s">
        <v>1383</v>
      </c>
      <c r="C290" s="104">
        <v>2</v>
      </c>
      <c r="D290" s="79" t="s">
        <v>1120</v>
      </c>
      <c r="E290" s="79" t="s">
        <v>1384</v>
      </c>
      <c r="F290" s="79" t="s">
        <v>78</v>
      </c>
      <c r="G290" s="80" t="s">
        <v>1267</v>
      </c>
      <c r="H290" s="81">
        <v>67516</v>
      </c>
      <c r="I290" s="109"/>
      <c r="J290" s="110">
        <v>118</v>
      </c>
      <c r="K290" s="107" t="s">
        <v>1125</v>
      </c>
      <c r="L290" s="84">
        <v>46099</v>
      </c>
      <c r="M290" s="85">
        <v>46115</v>
      </c>
      <c r="N290" s="86" cm="1">
        <f t="array" ref="N290">WORKDAY(M290,10)</f>
        <v>46129</v>
      </c>
      <c r="O290" s="87">
        <v>0</v>
      </c>
      <c r="P290" s="88">
        <v>0</v>
      </c>
      <c r="Q290" s="89">
        <v>46136</v>
      </c>
      <c r="R290" s="96">
        <v>46164</v>
      </c>
      <c r="S290" s="86" cm="1">
        <f t="array" ref="S290">WORKDAY(R290,10)</f>
        <v>46178</v>
      </c>
      <c r="T290" s="87">
        <v>0</v>
      </c>
      <c r="U290" s="91" t="s">
        <v>105</v>
      </c>
      <c r="V290" s="92">
        <v>0</v>
      </c>
      <c r="W290" s="93" cm="1">
        <f t="array" ref="W290">WORKDAY(X290,-20)</f>
        <v>46238</v>
      </c>
      <c r="X290" s="90">
        <v>46266</v>
      </c>
      <c r="Y290" s="88">
        <v>0</v>
      </c>
      <c r="Z290" s="93">
        <v>46269</v>
      </c>
      <c r="AA290" s="90">
        <v>46336</v>
      </c>
      <c r="AB290" s="88">
        <v>0</v>
      </c>
      <c r="AC290" s="79" t="s">
        <v>49</v>
      </c>
      <c r="AD290" s="79" t="s">
        <v>49</v>
      </c>
      <c r="AE290" s="90"/>
      <c r="AF290" s="88">
        <v>0</v>
      </c>
      <c r="AG290" s="93" cm="1">
        <f t="array" ref="AG290">WORKDAY(AA290,2)</f>
        <v>46338</v>
      </c>
      <c r="AH290" s="90" cm="1">
        <f t="array" ref="AH290">WORKDAY(AG290,1)</f>
        <v>46339</v>
      </c>
      <c r="AI290" s="86" cm="1">
        <f t="array" ref="AI290">WORKDAY(AH290,1)</f>
        <v>46342</v>
      </c>
      <c r="AJ290" s="145"/>
      <c r="AK290" s="56"/>
    </row>
    <row r="291" spans="1:37" ht="25.5" customHeight="1">
      <c r="A291" s="140" cm="1">
        <f t="array" ref="A291">A290+1</f>
        <v>276</v>
      </c>
      <c r="B291" s="79" t="s">
        <v>584</v>
      </c>
      <c r="C291" s="95">
        <v>3</v>
      </c>
      <c r="D291" s="79" t="s">
        <v>575</v>
      </c>
      <c r="E291" s="79" t="s">
        <v>585</v>
      </c>
      <c r="F291" s="79"/>
      <c r="G291" s="80" t="s">
        <v>113</v>
      </c>
      <c r="H291" s="81">
        <v>32234</v>
      </c>
      <c r="I291" s="79" t="s">
        <v>586</v>
      </c>
      <c r="J291" s="98"/>
      <c r="K291" s="100">
        <v>0</v>
      </c>
      <c r="L291" s="105" cm="1">
        <f t="array" ref="L291">WORKDAY(M291,-20)</f>
        <v>46171</v>
      </c>
      <c r="M291" s="85">
        <v>46199</v>
      </c>
      <c r="N291" s="86" cm="1">
        <f t="array" ref="N291">WORKDAY(M291,10)</f>
        <v>46213</v>
      </c>
      <c r="O291" s="87">
        <v>0</v>
      </c>
      <c r="P291" s="88">
        <v>0</v>
      </c>
      <c r="Q291" s="89">
        <v>46167</v>
      </c>
      <c r="R291" s="96">
        <v>46195</v>
      </c>
      <c r="S291" s="86" cm="1">
        <f t="array" ref="S291">WORKDAY(R291,10)</f>
        <v>46209</v>
      </c>
      <c r="T291" s="87">
        <v>0</v>
      </c>
      <c r="U291" s="91" t="s">
        <v>114</v>
      </c>
      <c r="V291" s="92">
        <v>0</v>
      </c>
      <c r="W291" s="93" cm="1">
        <f t="array" ref="W291">WORKDAY(X291,-20)</f>
        <v>46255</v>
      </c>
      <c r="X291" s="90">
        <v>46283</v>
      </c>
      <c r="Y291" s="88">
        <v>0</v>
      </c>
      <c r="Z291" s="93">
        <v>46295</v>
      </c>
      <c r="AA291" s="90">
        <v>46337</v>
      </c>
      <c r="AB291" s="88">
        <v>0</v>
      </c>
      <c r="AC291" s="79" t="s">
        <v>49</v>
      </c>
      <c r="AD291" s="79" t="s">
        <v>49</v>
      </c>
      <c r="AE291" s="90"/>
      <c r="AF291" s="88">
        <v>0</v>
      </c>
      <c r="AG291" s="93" cm="1">
        <f t="array" ref="AG291">WORKDAY(AA291,2)</f>
        <v>46339</v>
      </c>
      <c r="AH291" s="90" cm="1">
        <f t="array" ref="AH291">WORKDAY(AG291,1)</f>
        <v>46342</v>
      </c>
      <c r="AI291" s="86" cm="1">
        <f t="array" ref="AI291">WORKDAY(AH291,1)</f>
        <v>46343</v>
      </c>
      <c r="AJ291" s="145"/>
      <c r="AK291" s="56"/>
    </row>
    <row r="292" spans="1:37" ht="25.5" customHeight="1">
      <c r="A292" s="140" cm="1">
        <f t="array" ref="A292">A291+1</f>
        <v>277</v>
      </c>
      <c r="B292" s="79" t="s">
        <v>587</v>
      </c>
      <c r="C292" s="95">
        <v>3</v>
      </c>
      <c r="D292" s="79" t="s">
        <v>575</v>
      </c>
      <c r="E292" s="79" t="s">
        <v>588</v>
      </c>
      <c r="F292" s="79"/>
      <c r="G292" s="80" t="s">
        <v>113</v>
      </c>
      <c r="H292" s="81">
        <v>32234</v>
      </c>
      <c r="I292" s="79" t="s">
        <v>589</v>
      </c>
      <c r="J292" s="98"/>
      <c r="K292" s="100">
        <v>0</v>
      </c>
      <c r="L292" s="105" cm="1">
        <f t="array" ref="L292">WORKDAY(M292,-20)</f>
        <v>46171</v>
      </c>
      <c r="M292" s="85">
        <v>46199</v>
      </c>
      <c r="N292" s="86" cm="1">
        <f t="array" ref="N292">WORKDAY(M292,10)</f>
        <v>46213</v>
      </c>
      <c r="O292" s="87">
        <v>0</v>
      </c>
      <c r="P292" s="88">
        <v>0</v>
      </c>
      <c r="Q292" s="89">
        <v>46167</v>
      </c>
      <c r="R292" s="96">
        <v>46195</v>
      </c>
      <c r="S292" s="86" cm="1">
        <f t="array" ref="S292">WORKDAY(R292,10)</f>
        <v>46209</v>
      </c>
      <c r="T292" s="87">
        <v>0</v>
      </c>
      <c r="U292" s="91" t="s">
        <v>114</v>
      </c>
      <c r="V292" s="92">
        <v>0</v>
      </c>
      <c r="W292" s="93" cm="1">
        <f t="array" ref="W292">WORKDAY(X292,-20)</f>
        <v>46258</v>
      </c>
      <c r="X292" s="90">
        <v>46286</v>
      </c>
      <c r="Y292" s="88">
        <v>0</v>
      </c>
      <c r="Z292" s="93">
        <v>46295</v>
      </c>
      <c r="AA292" s="90">
        <v>46337</v>
      </c>
      <c r="AB292" s="88">
        <v>0</v>
      </c>
      <c r="AC292" s="79" t="s">
        <v>49</v>
      </c>
      <c r="AD292" s="79" t="s">
        <v>49</v>
      </c>
      <c r="AE292" s="90"/>
      <c r="AF292" s="88">
        <v>0</v>
      </c>
      <c r="AG292" s="93" cm="1">
        <f t="array" ref="AG292">WORKDAY(AA292,2)</f>
        <v>46339</v>
      </c>
      <c r="AH292" s="90" cm="1">
        <f t="array" ref="AH292">WORKDAY(AG292,1)</f>
        <v>46342</v>
      </c>
      <c r="AI292" s="86" cm="1">
        <f t="array" ref="AI292">WORKDAY(AH292,1)</f>
        <v>46343</v>
      </c>
      <c r="AJ292" s="145"/>
      <c r="AK292" s="56"/>
    </row>
    <row r="293" spans="1:37" ht="25.5" customHeight="1">
      <c r="A293" s="140" cm="1">
        <f t="array" ref="A293">A292+1</f>
        <v>278</v>
      </c>
      <c r="B293" s="79" t="s">
        <v>1385</v>
      </c>
      <c r="C293" s="104">
        <v>2</v>
      </c>
      <c r="D293" s="79" t="s">
        <v>1120</v>
      </c>
      <c r="E293" s="79" t="s">
        <v>1386</v>
      </c>
      <c r="F293" s="79" t="s">
        <v>78</v>
      </c>
      <c r="G293" s="80" t="s">
        <v>1267</v>
      </c>
      <c r="H293" s="81">
        <v>67516</v>
      </c>
      <c r="I293" s="109"/>
      <c r="J293" s="110">
        <v>119</v>
      </c>
      <c r="K293" s="100">
        <v>0.6</v>
      </c>
      <c r="L293" s="84">
        <v>46099</v>
      </c>
      <c r="M293" s="85">
        <v>46120</v>
      </c>
      <c r="N293" s="86" cm="1">
        <f t="array" ref="N293">WORKDAY(M293,10)</f>
        <v>46134</v>
      </c>
      <c r="O293" s="87">
        <v>0</v>
      </c>
      <c r="P293" s="88">
        <v>0</v>
      </c>
      <c r="Q293" s="89">
        <v>46136</v>
      </c>
      <c r="R293" s="96">
        <v>46164</v>
      </c>
      <c r="S293" s="86" cm="1">
        <f t="array" ref="S293">WORKDAY(R293,10)</f>
        <v>46178</v>
      </c>
      <c r="T293" s="87">
        <v>0</v>
      </c>
      <c r="U293" s="91" t="s">
        <v>105</v>
      </c>
      <c r="V293" s="92">
        <v>0</v>
      </c>
      <c r="W293" s="93" cm="1">
        <f t="array" ref="W293">WORKDAY(X293,-20)</f>
        <v>46239</v>
      </c>
      <c r="X293" s="90">
        <v>46267</v>
      </c>
      <c r="Y293" s="88">
        <v>0</v>
      </c>
      <c r="Z293" s="93">
        <v>46272</v>
      </c>
      <c r="AA293" s="90">
        <v>46337</v>
      </c>
      <c r="AB293" s="88">
        <v>0</v>
      </c>
      <c r="AC293" s="79" t="s">
        <v>49</v>
      </c>
      <c r="AD293" s="79" t="s">
        <v>49</v>
      </c>
      <c r="AE293" s="90"/>
      <c r="AF293" s="88">
        <v>0</v>
      </c>
      <c r="AG293" s="93" cm="1">
        <f t="array" ref="AG293">WORKDAY(AA293,2)</f>
        <v>46339</v>
      </c>
      <c r="AH293" s="90" cm="1">
        <f t="array" ref="AH293">WORKDAY(AG293,1)</f>
        <v>46342</v>
      </c>
      <c r="AI293" s="86" cm="1">
        <f t="array" ref="AI293">WORKDAY(AH293,1)</f>
        <v>46343</v>
      </c>
      <c r="AJ293" s="145"/>
      <c r="AK293" s="56"/>
    </row>
    <row r="294" spans="1:37" ht="25.5" customHeight="1">
      <c r="A294" s="140" cm="1">
        <f t="array" ref="A294">A293+1</f>
        <v>279</v>
      </c>
      <c r="B294" s="79" t="s">
        <v>590</v>
      </c>
      <c r="C294" s="95">
        <v>3</v>
      </c>
      <c r="D294" s="79" t="s">
        <v>575</v>
      </c>
      <c r="E294" s="79" t="s">
        <v>591</v>
      </c>
      <c r="F294" s="79"/>
      <c r="G294" s="80" t="s">
        <v>113</v>
      </c>
      <c r="H294" s="81">
        <v>32234</v>
      </c>
      <c r="I294" s="79" t="s">
        <v>592</v>
      </c>
      <c r="J294" s="98"/>
      <c r="K294" s="100">
        <v>0</v>
      </c>
      <c r="L294" s="105" cm="1">
        <f t="array" ref="L294">WORKDAY(M294,-20)</f>
        <v>46171</v>
      </c>
      <c r="M294" s="85">
        <v>46199</v>
      </c>
      <c r="N294" s="86" cm="1">
        <f t="array" ref="N294">WORKDAY(M294,10)</f>
        <v>46213</v>
      </c>
      <c r="O294" s="87">
        <v>0</v>
      </c>
      <c r="P294" s="88">
        <v>0</v>
      </c>
      <c r="Q294" s="89">
        <v>46167</v>
      </c>
      <c r="R294" s="96">
        <v>46195</v>
      </c>
      <c r="S294" s="86" cm="1">
        <f t="array" ref="S294">WORKDAY(R294,10)</f>
        <v>46209</v>
      </c>
      <c r="T294" s="87">
        <v>0</v>
      </c>
      <c r="U294" s="91" t="s">
        <v>114</v>
      </c>
      <c r="V294" s="92">
        <v>0</v>
      </c>
      <c r="W294" s="93" cm="1">
        <f t="array" ref="W294">WORKDAY(X294,-20)</f>
        <v>46259</v>
      </c>
      <c r="X294" s="90">
        <v>46287</v>
      </c>
      <c r="Y294" s="88">
        <v>0</v>
      </c>
      <c r="Z294" s="93">
        <v>46296</v>
      </c>
      <c r="AA294" s="90">
        <v>46338</v>
      </c>
      <c r="AB294" s="88">
        <v>0</v>
      </c>
      <c r="AC294" s="79" t="s">
        <v>49</v>
      </c>
      <c r="AD294" s="79" t="s">
        <v>49</v>
      </c>
      <c r="AE294" s="90"/>
      <c r="AF294" s="88">
        <v>0</v>
      </c>
      <c r="AG294" s="93" cm="1">
        <f t="array" ref="AG294">WORKDAY(AA294,2)</f>
        <v>46342</v>
      </c>
      <c r="AH294" s="90" cm="1">
        <f t="array" ref="AH294">WORKDAY(AG294,1)</f>
        <v>46343</v>
      </c>
      <c r="AI294" s="86" cm="1">
        <f t="array" ref="AI294">WORKDAY(AH294,1)</f>
        <v>46344</v>
      </c>
      <c r="AJ294" s="145"/>
      <c r="AK294" s="56"/>
    </row>
    <row r="295" spans="1:37" ht="25.5" customHeight="1">
      <c r="A295" s="140" cm="1">
        <f t="array" ref="A295">A294+1</f>
        <v>280</v>
      </c>
      <c r="B295" s="79" t="s">
        <v>593</v>
      </c>
      <c r="C295" s="95">
        <v>3</v>
      </c>
      <c r="D295" s="79" t="s">
        <v>308</v>
      </c>
      <c r="E295" s="79" t="s">
        <v>594</v>
      </c>
      <c r="F295" s="79"/>
      <c r="G295" s="80" t="s">
        <v>113</v>
      </c>
      <c r="H295" s="81">
        <v>32373</v>
      </c>
      <c r="I295" s="79" t="s">
        <v>595</v>
      </c>
      <c r="J295" s="98"/>
      <c r="K295" s="100">
        <v>0.98</v>
      </c>
      <c r="L295" s="105" cm="1">
        <f t="array" ref="L295">WORKDAY(M295,-20)</f>
        <v>46171</v>
      </c>
      <c r="M295" s="85">
        <v>46199</v>
      </c>
      <c r="N295" s="86" cm="1">
        <f t="array" ref="N295">WORKDAY(M295,10)</f>
        <v>46213</v>
      </c>
      <c r="O295" s="87">
        <v>0</v>
      </c>
      <c r="P295" s="88">
        <v>0</v>
      </c>
      <c r="Q295" s="89">
        <v>46167</v>
      </c>
      <c r="R295" s="96">
        <v>46195</v>
      </c>
      <c r="S295" s="86" cm="1">
        <f t="array" ref="S295">WORKDAY(R295,10)</f>
        <v>46209</v>
      </c>
      <c r="T295" s="87">
        <v>0</v>
      </c>
      <c r="U295" s="91" t="s">
        <v>114</v>
      </c>
      <c r="V295" s="92">
        <v>0</v>
      </c>
      <c r="W295" s="93" cm="1">
        <f t="array" ref="W295">WORKDAY(X295,-20)</f>
        <v>46260</v>
      </c>
      <c r="X295" s="90">
        <v>46288</v>
      </c>
      <c r="Y295" s="88">
        <v>0</v>
      </c>
      <c r="Z295" s="93">
        <v>46296</v>
      </c>
      <c r="AA295" s="90">
        <v>46338</v>
      </c>
      <c r="AB295" s="88">
        <v>0</v>
      </c>
      <c r="AC295" s="79" t="s">
        <v>49</v>
      </c>
      <c r="AD295" s="79" t="s">
        <v>49</v>
      </c>
      <c r="AE295" s="90"/>
      <c r="AF295" s="88">
        <v>0</v>
      </c>
      <c r="AG295" s="93" cm="1">
        <f t="array" ref="AG295">WORKDAY(AA295,2)</f>
        <v>46342</v>
      </c>
      <c r="AH295" s="90" cm="1">
        <f t="array" ref="AH295">WORKDAY(AG295,1)</f>
        <v>46343</v>
      </c>
      <c r="AI295" s="86" cm="1">
        <f t="array" ref="AI295">WORKDAY(AH295,1)</f>
        <v>46344</v>
      </c>
      <c r="AJ295" s="145"/>
      <c r="AK295" s="56"/>
    </row>
    <row r="296" spans="1:37" ht="25.5" customHeight="1">
      <c r="A296" s="140" cm="1">
        <f t="array" ref="A296">A295+1</f>
        <v>281</v>
      </c>
      <c r="B296" s="79" t="s">
        <v>1387</v>
      </c>
      <c r="C296" s="104">
        <v>2</v>
      </c>
      <c r="D296" s="79" t="s">
        <v>1388</v>
      </c>
      <c r="E296" s="79" t="s">
        <v>1389</v>
      </c>
      <c r="F296" s="79" t="s">
        <v>78</v>
      </c>
      <c r="G296" s="80" t="s">
        <v>1390</v>
      </c>
      <c r="H296" s="81">
        <v>93940</v>
      </c>
      <c r="I296" s="109"/>
      <c r="J296" s="110">
        <v>120</v>
      </c>
      <c r="K296" s="100">
        <v>0</v>
      </c>
      <c r="L296" s="105" cm="1">
        <f t="array" ref="L296">WORKDAY(M296,-10)</f>
        <v>46133</v>
      </c>
      <c r="M296" s="85">
        <v>46147</v>
      </c>
      <c r="N296" s="86" cm="1">
        <f t="array" ref="N296">WORKDAY(M296,10)</f>
        <v>46161</v>
      </c>
      <c r="O296" s="87">
        <v>0</v>
      </c>
      <c r="P296" s="88">
        <v>0</v>
      </c>
      <c r="Q296" s="89">
        <v>46136</v>
      </c>
      <c r="R296" s="96">
        <v>46164</v>
      </c>
      <c r="S296" s="86" cm="1">
        <f t="array" ref="S296">WORKDAY(R296,10)</f>
        <v>46178</v>
      </c>
      <c r="T296" s="87">
        <v>0</v>
      </c>
      <c r="U296" s="91" t="s">
        <v>105</v>
      </c>
      <c r="V296" s="92">
        <v>0</v>
      </c>
      <c r="W296" s="93" cm="1">
        <f t="array" ref="W296">WORKDAY(X296,-20)</f>
        <v>46240</v>
      </c>
      <c r="X296" s="90">
        <v>46268</v>
      </c>
      <c r="Y296" s="88">
        <v>0</v>
      </c>
      <c r="Z296" s="93">
        <v>46273</v>
      </c>
      <c r="AA296" s="90">
        <v>46338</v>
      </c>
      <c r="AB296" s="88">
        <v>0</v>
      </c>
      <c r="AC296" s="79" t="s">
        <v>49</v>
      </c>
      <c r="AD296" s="79" t="s">
        <v>49</v>
      </c>
      <c r="AE296" s="90"/>
      <c r="AF296" s="88">
        <v>0</v>
      </c>
      <c r="AG296" s="93" cm="1">
        <f t="array" ref="AG296">WORKDAY(AA296,2)</f>
        <v>46342</v>
      </c>
      <c r="AH296" s="90" cm="1">
        <f t="array" ref="AH296">WORKDAY(AG296,1)</f>
        <v>46343</v>
      </c>
      <c r="AI296" s="86" cm="1">
        <f t="array" ref="AI296">WORKDAY(AH296,1)</f>
        <v>46344</v>
      </c>
      <c r="AJ296" s="145"/>
      <c r="AK296" s="56"/>
    </row>
    <row r="297" spans="1:37" ht="25.5" customHeight="1">
      <c r="A297" s="140" cm="1">
        <f t="array" ref="A297">A296+1</f>
        <v>282</v>
      </c>
      <c r="B297" s="79" t="s">
        <v>596</v>
      </c>
      <c r="C297" s="95">
        <v>3</v>
      </c>
      <c r="D297" s="79" t="s">
        <v>111</v>
      </c>
      <c r="E297" s="79" t="s">
        <v>597</v>
      </c>
      <c r="F297" s="79"/>
      <c r="G297" s="80" t="s">
        <v>113</v>
      </c>
      <c r="H297" s="81">
        <v>32373</v>
      </c>
      <c r="I297" s="79" t="s">
        <v>598</v>
      </c>
      <c r="J297" s="98"/>
      <c r="K297" s="106" t="s">
        <v>104</v>
      </c>
      <c r="L297" s="84">
        <v>46142</v>
      </c>
      <c r="M297" s="85">
        <v>46171</v>
      </c>
      <c r="N297" s="86" cm="1">
        <f t="array" ref="N297">WORKDAY(M297,10)</f>
        <v>46185</v>
      </c>
      <c r="O297" s="87">
        <v>0</v>
      </c>
      <c r="P297" s="88">
        <v>0</v>
      </c>
      <c r="Q297" s="89">
        <v>46167</v>
      </c>
      <c r="R297" s="96">
        <v>46195</v>
      </c>
      <c r="S297" s="86" cm="1">
        <f t="array" ref="S297">WORKDAY(R297,10)</f>
        <v>46209</v>
      </c>
      <c r="T297" s="87">
        <v>0</v>
      </c>
      <c r="U297" s="91" t="s">
        <v>114</v>
      </c>
      <c r="V297" s="92">
        <v>0</v>
      </c>
      <c r="W297" s="93" cm="1">
        <f t="array" ref="W297">WORKDAY(X297,-20)</f>
        <v>46261</v>
      </c>
      <c r="X297" s="90">
        <v>46289</v>
      </c>
      <c r="Y297" s="88">
        <v>0</v>
      </c>
      <c r="Z297" s="93">
        <v>46297</v>
      </c>
      <c r="AA297" s="90">
        <v>46339</v>
      </c>
      <c r="AB297" s="88">
        <v>0</v>
      </c>
      <c r="AC297" s="79" t="s">
        <v>49</v>
      </c>
      <c r="AD297" s="79" t="s">
        <v>49</v>
      </c>
      <c r="AE297" s="90"/>
      <c r="AF297" s="88">
        <v>0</v>
      </c>
      <c r="AG297" s="93" cm="1">
        <f t="array" ref="AG297">WORKDAY(AA297,2)</f>
        <v>46343</v>
      </c>
      <c r="AH297" s="90" cm="1">
        <f t="array" ref="AH297">WORKDAY(AG297,1)</f>
        <v>46344</v>
      </c>
      <c r="AI297" s="86" cm="1">
        <f t="array" ref="AI297">WORKDAY(AH297,1)</f>
        <v>46345</v>
      </c>
      <c r="AJ297" s="145"/>
      <c r="AK297" s="56"/>
    </row>
    <row r="298" spans="1:37" ht="25.5" customHeight="1">
      <c r="A298" s="140" cm="1">
        <f t="array" ref="A298">A297+1</f>
        <v>283</v>
      </c>
      <c r="B298" s="79" t="s">
        <v>599</v>
      </c>
      <c r="C298" s="95">
        <v>3</v>
      </c>
      <c r="D298" s="79" t="s">
        <v>111</v>
      </c>
      <c r="E298" s="79" t="s">
        <v>600</v>
      </c>
      <c r="F298" s="79"/>
      <c r="G298" s="80" t="s">
        <v>113</v>
      </c>
      <c r="H298" s="81">
        <v>32373</v>
      </c>
      <c r="I298" s="79" t="s">
        <v>601</v>
      </c>
      <c r="J298" s="98"/>
      <c r="K298" s="106" t="s">
        <v>104</v>
      </c>
      <c r="L298" s="84">
        <v>46142</v>
      </c>
      <c r="M298" s="85">
        <v>46171</v>
      </c>
      <c r="N298" s="86" cm="1">
        <f t="array" ref="N298">WORKDAY(M298,10)</f>
        <v>46185</v>
      </c>
      <c r="O298" s="87">
        <v>0</v>
      </c>
      <c r="P298" s="88">
        <v>0</v>
      </c>
      <c r="Q298" s="89">
        <v>46167</v>
      </c>
      <c r="R298" s="96">
        <v>46195</v>
      </c>
      <c r="S298" s="86" cm="1">
        <f t="array" ref="S298">WORKDAY(R298,10)</f>
        <v>46209</v>
      </c>
      <c r="T298" s="87">
        <v>0</v>
      </c>
      <c r="U298" s="91" t="s">
        <v>114</v>
      </c>
      <c r="V298" s="92">
        <v>0</v>
      </c>
      <c r="W298" s="93" cm="1">
        <f t="array" ref="W298">WORKDAY(X298,-20)</f>
        <v>46262</v>
      </c>
      <c r="X298" s="90">
        <v>46290</v>
      </c>
      <c r="Y298" s="88">
        <v>0</v>
      </c>
      <c r="Z298" s="93">
        <v>46297</v>
      </c>
      <c r="AA298" s="90">
        <v>46339</v>
      </c>
      <c r="AB298" s="88">
        <v>0</v>
      </c>
      <c r="AC298" s="79" t="s">
        <v>49</v>
      </c>
      <c r="AD298" s="79" t="s">
        <v>49</v>
      </c>
      <c r="AE298" s="90"/>
      <c r="AF298" s="88">
        <v>0</v>
      </c>
      <c r="AG298" s="93" cm="1">
        <f t="array" ref="AG298">WORKDAY(AA298,2)</f>
        <v>46343</v>
      </c>
      <c r="AH298" s="90" cm="1">
        <f t="array" ref="AH298">WORKDAY(AG298,1)</f>
        <v>46344</v>
      </c>
      <c r="AI298" s="86" cm="1">
        <f t="array" ref="AI298">WORKDAY(AH298,1)</f>
        <v>46345</v>
      </c>
      <c r="AJ298" s="145"/>
      <c r="AK298" s="56"/>
    </row>
    <row r="299" spans="1:37" ht="25.5" customHeight="1">
      <c r="A299" s="140" cm="1">
        <f t="array" ref="A299">A298+1</f>
        <v>284</v>
      </c>
      <c r="B299" s="79" t="s">
        <v>1391</v>
      </c>
      <c r="C299" s="104">
        <v>2</v>
      </c>
      <c r="D299" s="79" t="s">
        <v>1388</v>
      </c>
      <c r="E299" s="79" t="s">
        <v>1392</v>
      </c>
      <c r="F299" s="79" t="s">
        <v>78</v>
      </c>
      <c r="G299" s="80" t="s">
        <v>1390</v>
      </c>
      <c r="H299" s="81">
        <v>93940</v>
      </c>
      <c r="I299" s="109"/>
      <c r="J299" s="110">
        <v>121</v>
      </c>
      <c r="K299" s="100">
        <v>0</v>
      </c>
      <c r="L299" s="105" cm="1">
        <f t="array" ref="L299">WORKDAY(M299,-10)</f>
        <v>46133</v>
      </c>
      <c r="M299" s="85">
        <v>46147</v>
      </c>
      <c r="N299" s="86" cm="1">
        <f t="array" ref="N299">WORKDAY(M299,10)</f>
        <v>46161</v>
      </c>
      <c r="O299" s="87">
        <v>0</v>
      </c>
      <c r="P299" s="88">
        <v>0</v>
      </c>
      <c r="Q299" s="89">
        <v>46136</v>
      </c>
      <c r="R299" s="96">
        <v>46164</v>
      </c>
      <c r="S299" s="86" cm="1">
        <f t="array" ref="S299">WORKDAY(R299,10)</f>
        <v>46178</v>
      </c>
      <c r="T299" s="87">
        <v>0</v>
      </c>
      <c r="U299" s="91" t="s">
        <v>105</v>
      </c>
      <c r="V299" s="92">
        <v>0</v>
      </c>
      <c r="W299" s="93" cm="1">
        <f t="array" ref="W299">WORKDAY(X299,-20)</f>
        <v>46240</v>
      </c>
      <c r="X299" s="90">
        <v>46268</v>
      </c>
      <c r="Y299" s="88">
        <v>0</v>
      </c>
      <c r="Z299" s="93">
        <v>46273</v>
      </c>
      <c r="AA299" s="90">
        <v>46339</v>
      </c>
      <c r="AB299" s="88">
        <v>0</v>
      </c>
      <c r="AC299" s="79" t="s">
        <v>49</v>
      </c>
      <c r="AD299" s="79" t="s">
        <v>49</v>
      </c>
      <c r="AE299" s="90"/>
      <c r="AF299" s="88">
        <v>0</v>
      </c>
      <c r="AG299" s="93" cm="1">
        <f t="array" ref="AG299">WORKDAY(AA299,2)</f>
        <v>46343</v>
      </c>
      <c r="AH299" s="90" cm="1">
        <f t="array" ref="AH299">WORKDAY(AG299,1)</f>
        <v>46344</v>
      </c>
      <c r="AI299" s="86" cm="1">
        <f t="array" ref="AI299">WORKDAY(AH299,1)</f>
        <v>46345</v>
      </c>
      <c r="AJ299" s="145"/>
      <c r="AK299" s="56"/>
    </row>
    <row r="300" spans="1:37" ht="25.5" customHeight="1">
      <c r="A300" s="140" cm="1">
        <f t="array" ref="A300">A299+1</f>
        <v>285</v>
      </c>
      <c r="B300" s="79" t="s">
        <v>602</v>
      </c>
      <c r="C300" s="95">
        <v>3</v>
      </c>
      <c r="D300" s="79" t="s">
        <v>111</v>
      </c>
      <c r="E300" s="79" t="s">
        <v>603</v>
      </c>
      <c r="F300" s="79"/>
      <c r="G300" s="80" t="s">
        <v>113</v>
      </c>
      <c r="H300" s="81">
        <v>32373</v>
      </c>
      <c r="I300" s="79" t="s">
        <v>604</v>
      </c>
      <c r="J300" s="98"/>
      <c r="K300" s="106" t="s">
        <v>104</v>
      </c>
      <c r="L300" s="84">
        <v>46142</v>
      </c>
      <c r="M300" s="85">
        <v>46171</v>
      </c>
      <c r="N300" s="86" cm="1">
        <f t="array" ref="N300">WORKDAY(M300,10)</f>
        <v>46185</v>
      </c>
      <c r="O300" s="87">
        <v>0</v>
      </c>
      <c r="P300" s="88">
        <v>0</v>
      </c>
      <c r="Q300" s="89">
        <v>46167</v>
      </c>
      <c r="R300" s="96">
        <v>46195</v>
      </c>
      <c r="S300" s="86" cm="1">
        <f t="array" ref="S300">WORKDAY(R300,10)</f>
        <v>46209</v>
      </c>
      <c r="T300" s="87">
        <v>0</v>
      </c>
      <c r="U300" s="91" t="s">
        <v>114</v>
      </c>
      <c r="V300" s="92">
        <v>0</v>
      </c>
      <c r="W300" s="93" cm="1">
        <f t="array" ref="W300">WORKDAY(X300,-20)</f>
        <v>46265</v>
      </c>
      <c r="X300" s="90">
        <v>46293</v>
      </c>
      <c r="Y300" s="88">
        <v>0</v>
      </c>
      <c r="Z300" s="93">
        <v>46300</v>
      </c>
      <c r="AA300" s="90">
        <v>46342</v>
      </c>
      <c r="AB300" s="88">
        <v>0</v>
      </c>
      <c r="AC300" s="79" t="s">
        <v>49</v>
      </c>
      <c r="AD300" s="79" t="s">
        <v>49</v>
      </c>
      <c r="AE300" s="90"/>
      <c r="AF300" s="88">
        <v>0</v>
      </c>
      <c r="AG300" s="93" cm="1">
        <f t="array" ref="AG300">WORKDAY(AA300,2)</f>
        <v>46344</v>
      </c>
      <c r="AH300" s="90" cm="1">
        <f t="array" ref="AH300">WORKDAY(AG300,1)</f>
        <v>46345</v>
      </c>
      <c r="AI300" s="86" cm="1">
        <f t="array" ref="AI300">WORKDAY(AH300,1)</f>
        <v>46346</v>
      </c>
      <c r="AJ300" s="145"/>
      <c r="AK300" s="56"/>
    </row>
    <row r="301" spans="1:37" ht="25.5" customHeight="1">
      <c r="A301" s="140" cm="1">
        <f t="array" ref="A301">A300+1</f>
        <v>286</v>
      </c>
      <c r="B301" s="79" t="s">
        <v>605</v>
      </c>
      <c r="C301" s="95">
        <v>3</v>
      </c>
      <c r="D301" s="79" t="s">
        <v>111</v>
      </c>
      <c r="E301" s="79" t="s">
        <v>606</v>
      </c>
      <c r="F301" s="79"/>
      <c r="G301" s="80" t="s">
        <v>113</v>
      </c>
      <c r="H301" s="81">
        <v>32373</v>
      </c>
      <c r="I301" s="79" t="s">
        <v>607</v>
      </c>
      <c r="J301" s="98"/>
      <c r="K301" s="106" t="s">
        <v>104</v>
      </c>
      <c r="L301" s="84">
        <v>46142</v>
      </c>
      <c r="M301" s="85">
        <v>46171</v>
      </c>
      <c r="N301" s="86" cm="1">
        <f t="array" ref="N301">WORKDAY(M301,10)</f>
        <v>46185</v>
      </c>
      <c r="O301" s="87">
        <v>0</v>
      </c>
      <c r="P301" s="88">
        <v>0</v>
      </c>
      <c r="Q301" s="89">
        <v>46167</v>
      </c>
      <c r="R301" s="96">
        <v>46195</v>
      </c>
      <c r="S301" s="86" cm="1">
        <f t="array" ref="S301">WORKDAY(R301,10)</f>
        <v>46209</v>
      </c>
      <c r="T301" s="87">
        <v>0</v>
      </c>
      <c r="U301" s="91" t="s">
        <v>114</v>
      </c>
      <c r="V301" s="92">
        <v>0</v>
      </c>
      <c r="W301" s="93" cm="1">
        <f t="array" ref="W301">WORKDAY(X301,-20)</f>
        <v>46266</v>
      </c>
      <c r="X301" s="90">
        <v>46294</v>
      </c>
      <c r="Y301" s="88">
        <v>0</v>
      </c>
      <c r="Z301" s="93">
        <v>46300</v>
      </c>
      <c r="AA301" s="90">
        <v>46342</v>
      </c>
      <c r="AB301" s="88">
        <v>0</v>
      </c>
      <c r="AC301" s="79" t="s">
        <v>49</v>
      </c>
      <c r="AD301" s="79" t="s">
        <v>49</v>
      </c>
      <c r="AE301" s="90"/>
      <c r="AF301" s="88">
        <v>0</v>
      </c>
      <c r="AG301" s="93" cm="1">
        <f t="array" ref="AG301">WORKDAY(AA301,2)</f>
        <v>46344</v>
      </c>
      <c r="AH301" s="90" cm="1">
        <f t="array" ref="AH301">WORKDAY(AG301,1)</f>
        <v>46345</v>
      </c>
      <c r="AI301" s="86" cm="1">
        <f t="array" ref="AI301">WORKDAY(AH301,1)</f>
        <v>46346</v>
      </c>
      <c r="AJ301" s="145"/>
      <c r="AK301" s="56"/>
    </row>
    <row r="302" spans="1:37" ht="25.5" customHeight="1">
      <c r="A302" s="140" cm="1">
        <f t="array" ref="A302">A301+1</f>
        <v>287</v>
      </c>
      <c r="B302" s="79" t="s">
        <v>1393</v>
      </c>
      <c r="C302" s="104">
        <v>2</v>
      </c>
      <c r="D302" s="79" t="s">
        <v>1388</v>
      </c>
      <c r="E302" s="79" t="s">
        <v>1394</v>
      </c>
      <c r="F302" s="79" t="s">
        <v>78</v>
      </c>
      <c r="G302" s="80" t="s">
        <v>1390</v>
      </c>
      <c r="H302" s="81">
        <v>93940</v>
      </c>
      <c r="I302" s="109"/>
      <c r="J302" s="110">
        <v>122</v>
      </c>
      <c r="K302" s="100">
        <v>0</v>
      </c>
      <c r="L302" s="105" cm="1">
        <f t="array" ref="L302">WORKDAY(M302,-10)</f>
        <v>46133</v>
      </c>
      <c r="M302" s="85">
        <v>46147</v>
      </c>
      <c r="N302" s="86" cm="1">
        <f t="array" ref="N302">WORKDAY(M302,10)</f>
        <v>46161</v>
      </c>
      <c r="O302" s="87">
        <v>0</v>
      </c>
      <c r="P302" s="88">
        <v>0</v>
      </c>
      <c r="Q302" s="89">
        <v>46136</v>
      </c>
      <c r="R302" s="96">
        <v>46164</v>
      </c>
      <c r="S302" s="86" cm="1">
        <f t="array" ref="S302">WORKDAY(R302,10)</f>
        <v>46178</v>
      </c>
      <c r="T302" s="87">
        <v>0</v>
      </c>
      <c r="U302" s="91" t="s">
        <v>105</v>
      </c>
      <c r="V302" s="92">
        <v>0</v>
      </c>
      <c r="W302" s="93" cm="1">
        <f t="array" ref="W302">WORKDAY(X302,-20)</f>
        <v>46241</v>
      </c>
      <c r="X302" s="90">
        <v>46269</v>
      </c>
      <c r="Y302" s="88">
        <v>0</v>
      </c>
      <c r="Z302" s="93">
        <v>46274</v>
      </c>
      <c r="AA302" s="90">
        <v>46342</v>
      </c>
      <c r="AB302" s="88">
        <v>0</v>
      </c>
      <c r="AC302" s="79" t="s">
        <v>49</v>
      </c>
      <c r="AD302" s="79" t="s">
        <v>49</v>
      </c>
      <c r="AE302" s="90"/>
      <c r="AF302" s="88">
        <v>0</v>
      </c>
      <c r="AG302" s="93" cm="1">
        <f t="array" ref="AG302">WORKDAY(AA302,2)</f>
        <v>46344</v>
      </c>
      <c r="AH302" s="90" cm="1">
        <f t="array" ref="AH302">WORKDAY(AG302,1)</f>
        <v>46345</v>
      </c>
      <c r="AI302" s="86" cm="1">
        <f t="array" ref="AI302">WORKDAY(AH302,1)</f>
        <v>46346</v>
      </c>
      <c r="AJ302" s="145"/>
      <c r="AK302" s="56"/>
    </row>
    <row r="303" spans="1:37" ht="25.5" customHeight="1">
      <c r="A303" s="140" cm="1">
        <f t="array" ref="A303">A302+1</f>
        <v>288</v>
      </c>
      <c r="B303" s="79" t="s">
        <v>608</v>
      </c>
      <c r="C303" s="95">
        <v>3</v>
      </c>
      <c r="D303" s="79" t="s">
        <v>111</v>
      </c>
      <c r="E303" s="79" t="s">
        <v>609</v>
      </c>
      <c r="F303" s="79"/>
      <c r="G303" s="80" t="s">
        <v>113</v>
      </c>
      <c r="H303" s="81">
        <v>32373</v>
      </c>
      <c r="I303" s="79" t="s">
        <v>610</v>
      </c>
      <c r="J303" s="98"/>
      <c r="K303" s="106" t="s">
        <v>104</v>
      </c>
      <c r="L303" s="84">
        <v>46142</v>
      </c>
      <c r="M303" s="85">
        <v>46171</v>
      </c>
      <c r="N303" s="86" cm="1">
        <f t="array" ref="N303">WORKDAY(M303,10)</f>
        <v>46185</v>
      </c>
      <c r="O303" s="87">
        <v>0</v>
      </c>
      <c r="P303" s="88">
        <v>0</v>
      </c>
      <c r="Q303" s="89">
        <v>46167</v>
      </c>
      <c r="R303" s="96">
        <v>46195</v>
      </c>
      <c r="S303" s="86" cm="1">
        <f t="array" ref="S303">WORKDAY(R303,10)</f>
        <v>46209</v>
      </c>
      <c r="T303" s="87">
        <v>0</v>
      </c>
      <c r="U303" s="91" t="s">
        <v>114</v>
      </c>
      <c r="V303" s="92">
        <v>0</v>
      </c>
      <c r="W303" s="93" cm="1">
        <f t="array" ref="W303">WORKDAY(X303,-20)</f>
        <v>46267</v>
      </c>
      <c r="X303" s="90">
        <v>46295</v>
      </c>
      <c r="Y303" s="88">
        <v>0</v>
      </c>
      <c r="Z303" s="93">
        <v>46301</v>
      </c>
      <c r="AA303" s="90">
        <v>46343</v>
      </c>
      <c r="AB303" s="88">
        <v>0</v>
      </c>
      <c r="AC303" s="79" t="s">
        <v>49</v>
      </c>
      <c r="AD303" s="79" t="s">
        <v>49</v>
      </c>
      <c r="AE303" s="90"/>
      <c r="AF303" s="88">
        <v>0</v>
      </c>
      <c r="AG303" s="93" cm="1">
        <f t="array" ref="AG303">WORKDAY(AA303,2)</f>
        <v>46345</v>
      </c>
      <c r="AH303" s="90" cm="1">
        <f t="array" ref="AH303">WORKDAY(AG303,1)</f>
        <v>46346</v>
      </c>
      <c r="AI303" s="86" cm="1">
        <f t="array" ref="AI303">WORKDAY(AH303,1)</f>
        <v>46349</v>
      </c>
      <c r="AJ303" s="145"/>
      <c r="AK303" s="56"/>
    </row>
    <row r="304" spans="1:37" ht="25.5" customHeight="1">
      <c r="A304" s="140" cm="1">
        <f t="array" ref="A304">A303+1</f>
        <v>289</v>
      </c>
      <c r="B304" s="79" t="s">
        <v>611</v>
      </c>
      <c r="C304" s="95">
        <v>3</v>
      </c>
      <c r="D304" s="79" t="s">
        <v>612</v>
      </c>
      <c r="E304" s="79" t="s">
        <v>613</v>
      </c>
      <c r="F304" s="79"/>
      <c r="G304" s="80" t="s">
        <v>113</v>
      </c>
      <c r="H304" s="81">
        <v>41909</v>
      </c>
      <c r="I304" s="79" t="s">
        <v>614</v>
      </c>
      <c r="J304" s="98"/>
      <c r="K304" s="100">
        <v>0</v>
      </c>
      <c r="L304" s="105" cm="1">
        <f t="array" ref="L304">WORKDAY(M304,-20)</f>
        <v>46171</v>
      </c>
      <c r="M304" s="85">
        <v>46199</v>
      </c>
      <c r="N304" s="86" cm="1">
        <f t="array" ref="N304">WORKDAY(M304,10)</f>
        <v>46213</v>
      </c>
      <c r="O304" s="87">
        <v>0</v>
      </c>
      <c r="P304" s="88">
        <v>0</v>
      </c>
      <c r="Q304" s="89">
        <v>46167</v>
      </c>
      <c r="R304" s="96">
        <v>46195</v>
      </c>
      <c r="S304" s="86" cm="1">
        <f t="array" ref="S304">WORKDAY(R304,10)</f>
        <v>46209</v>
      </c>
      <c r="T304" s="87">
        <v>0</v>
      </c>
      <c r="U304" s="91" t="s">
        <v>105</v>
      </c>
      <c r="V304" s="92">
        <v>0</v>
      </c>
      <c r="W304" s="93" cm="1">
        <f t="array" ref="W304">WORKDAY(X304,-20)</f>
        <v>46254</v>
      </c>
      <c r="X304" s="90">
        <v>46282</v>
      </c>
      <c r="Y304" s="88">
        <v>0</v>
      </c>
      <c r="Z304" s="93">
        <v>46301</v>
      </c>
      <c r="AA304" s="90">
        <v>46343</v>
      </c>
      <c r="AB304" s="88">
        <v>0</v>
      </c>
      <c r="AC304" s="79" t="s">
        <v>49</v>
      </c>
      <c r="AD304" s="79" t="s">
        <v>49</v>
      </c>
      <c r="AE304" s="90"/>
      <c r="AF304" s="88">
        <v>0</v>
      </c>
      <c r="AG304" s="93" cm="1">
        <f t="array" ref="AG304">WORKDAY(AA304,2)</f>
        <v>46345</v>
      </c>
      <c r="AH304" s="90" cm="1">
        <f t="array" ref="AH304">WORKDAY(AG304,1)</f>
        <v>46346</v>
      </c>
      <c r="AI304" s="86" cm="1">
        <f t="array" ref="AI304">WORKDAY(AH304,1)</f>
        <v>46349</v>
      </c>
      <c r="AJ304" s="145"/>
      <c r="AK304" s="56"/>
    </row>
    <row r="305" spans="1:37" ht="25.5" customHeight="1">
      <c r="A305" s="140" cm="1">
        <f t="array" ref="A305">A304+1</f>
        <v>290</v>
      </c>
      <c r="B305" s="79" t="s">
        <v>1395</v>
      </c>
      <c r="C305" s="104">
        <v>2</v>
      </c>
      <c r="D305" s="79" t="s">
        <v>1388</v>
      </c>
      <c r="E305" s="79" t="s">
        <v>1396</v>
      </c>
      <c r="F305" s="79" t="s">
        <v>78</v>
      </c>
      <c r="G305" s="80" t="s">
        <v>1390</v>
      </c>
      <c r="H305" s="81">
        <v>93940</v>
      </c>
      <c r="I305" s="109"/>
      <c r="J305" s="110">
        <v>123</v>
      </c>
      <c r="K305" s="100">
        <v>0</v>
      </c>
      <c r="L305" s="105" cm="1">
        <f t="array" ref="L305">WORKDAY(M305,-10)</f>
        <v>46133</v>
      </c>
      <c r="M305" s="85">
        <v>46147</v>
      </c>
      <c r="N305" s="86" cm="1">
        <f t="array" ref="N305">WORKDAY(M305,10)</f>
        <v>46161</v>
      </c>
      <c r="O305" s="87">
        <v>0</v>
      </c>
      <c r="P305" s="88">
        <v>0</v>
      </c>
      <c r="Q305" s="89">
        <v>46136</v>
      </c>
      <c r="R305" s="96">
        <v>46164</v>
      </c>
      <c r="S305" s="86" cm="1">
        <f t="array" ref="S305">WORKDAY(R305,10)</f>
        <v>46178</v>
      </c>
      <c r="T305" s="87">
        <v>0</v>
      </c>
      <c r="U305" s="91" t="s">
        <v>105</v>
      </c>
      <c r="V305" s="92">
        <v>0</v>
      </c>
      <c r="W305" s="93" cm="1">
        <f t="array" ref="W305">WORKDAY(X305,-20)</f>
        <v>46244</v>
      </c>
      <c r="X305" s="90">
        <v>46272</v>
      </c>
      <c r="Y305" s="88">
        <v>0</v>
      </c>
      <c r="Z305" s="93">
        <v>46275</v>
      </c>
      <c r="AA305" s="90">
        <v>46343</v>
      </c>
      <c r="AB305" s="88">
        <v>0</v>
      </c>
      <c r="AC305" s="79" t="s">
        <v>49</v>
      </c>
      <c r="AD305" s="79" t="s">
        <v>49</v>
      </c>
      <c r="AE305" s="90"/>
      <c r="AF305" s="88">
        <v>0</v>
      </c>
      <c r="AG305" s="93" cm="1">
        <f t="array" ref="AG305">WORKDAY(AA305,2)</f>
        <v>46345</v>
      </c>
      <c r="AH305" s="90" cm="1">
        <f t="array" ref="AH305">WORKDAY(AG305,1)</f>
        <v>46346</v>
      </c>
      <c r="AI305" s="86" cm="1">
        <f t="array" ref="AI305">WORKDAY(AH305,1)</f>
        <v>46349</v>
      </c>
      <c r="AJ305" s="145"/>
      <c r="AK305" s="56"/>
    </row>
    <row r="306" spans="1:37" ht="25.5" customHeight="1">
      <c r="A306" s="140" cm="1">
        <f t="array" ref="A306">A305+1</f>
        <v>291</v>
      </c>
      <c r="B306" s="79" t="s">
        <v>615</v>
      </c>
      <c r="C306" s="95">
        <v>3</v>
      </c>
      <c r="D306" s="79" t="s">
        <v>116</v>
      </c>
      <c r="E306" s="79" t="s">
        <v>616</v>
      </c>
      <c r="F306" s="79"/>
      <c r="G306" s="80" t="s">
        <v>113</v>
      </c>
      <c r="H306" s="81">
        <v>42091</v>
      </c>
      <c r="I306" s="79" t="s">
        <v>617</v>
      </c>
      <c r="J306" s="98"/>
      <c r="K306" s="106" t="s">
        <v>104</v>
      </c>
      <c r="L306" s="84">
        <v>46142</v>
      </c>
      <c r="M306" s="85">
        <v>46171</v>
      </c>
      <c r="N306" s="86" cm="1">
        <f t="array" ref="N306">WORKDAY(M306,10)</f>
        <v>46185</v>
      </c>
      <c r="O306" s="87">
        <v>0</v>
      </c>
      <c r="P306" s="88">
        <v>0</v>
      </c>
      <c r="Q306" s="89">
        <v>46167</v>
      </c>
      <c r="R306" s="96">
        <v>46195</v>
      </c>
      <c r="S306" s="86" cm="1">
        <f t="array" ref="S306">WORKDAY(R306,10)</f>
        <v>46209</v>
      </c>
      <c r="T306" s="87">
        <v>0</v>
      </c>
      <c r="U306" s="91" t="s">
        <v>105</v>
      </c>
      <c r="V306" s="92">
        <v>0</v>
      </c>
      <c r="W306" s="93" cm="1">
        <f t="array" ref="W306">WORKDAY(X306,-20)</f>
        <v>46254</v>
      </c>
      <c r="X306" s="90">
        <v>46282</v>
      </c>
      <c r="Y306" s="88">
        <v>0</v>
      </c>
      <c r="Z306" s="93">
        <v>46302</v>
      </c>
      <c r="AA306" s="90">
        <v>46344</v>
      </c>
      <c r="AB306" s="88">
        <v>0</v>
      </c>
      <c r="AC306" s="79" t="s">
        <v>49</v>
      </c>
      <c r="AD306" s="79" t="s">
        <v>49</v>
      </c>
      <c r="AE306" s="90"/>
      <c r="AF306" s="88">
        <v>0</v>
      </c>
      <c r="AG306" s="93" cm="1">
        <f t="array" ref="AG306">WORKDAY(AA306,2)</f>
        <v>46346</v>
      </c>
      <c r="AH306" s="90" cm="1">
        <f t="array" ref="AH306">WORKDAY(AG306,1)</f>
        <v>46349</v>
      </c>
      <c r="AI306" s="86" cm="1">
        <f t="array" ref="AI306">WORKDAY(AH306,1)</f>
        <v>46350</v>
      </c>
      <c r="AJ306" s="145"/>
      <c r="AK306" s="56"/>
    </row>
    <row r="307" spans="1:37" ht="25.5" customHeight="1">
      <c r="A307" s="140" cm="1">
        <f t="array" ref="A307">A306+1</f>
        <v>292</v>
      </c>
      <c r="B307" s="79" t="s">
        <v>618</v>
      </c>
      <c r="C307" s="95">
        <v>3</v>
      </c>
      <c r="D307" s="79" t="s">
        <v>116</v>
      </c>
      <c r="E307" s="79" t="s">
        <v>619</v>
      </c>
      <c r="F307" s="79"/>
      <c r="G307" s="80" t="s">
        <v>113</v>
      </c>
      <c r="H307" s="81">
        <v>42091</v>
      </c>
      <c r="I307" s="79" t="s">
        <v>620</v>
      </c>
      <c r="J307" s="98"/>
      <c r="K307" s="106" t="s">
        <v>104</v>
      </c>
      <c r="L307" s="84">
        <v>46142</v>
      </c>
      <c r="M307" s="85">
        <v>46171</v>
      </c>
      <c r="N307" s="86" cm="1">
        <f t="array" ref="N307">WORKDAY(M307,10)</f>
        <v>46185</v>
      </c>
      <c r="O307" s="87">
        <v>0</v>
      </c>
      <c r="P307" s="88">
        <v>0</v>
      </c>
      <c r="Q307" s="89">
        <v>46167</v>
      </c>
      <c r="R307" s="96">
        <v>46195</v>
      </c>
      <c r="S307" s="86" cm="1">
        <f t="array" ref="S307">WORKDAY(R307,10)</f>
        <v>46209</v>
      </c>
      <c r="T307" s="87">
        <v>0</v>
      </c>
      <c r="U307" s="91" t="s">
        <v>105</v>
      </c>
      <c r="V307" s="92">
        <v>0</v>
      </c>
      <c r="W307" s="93" cm="1">
        <f t="array" ref="W307">WORKDAY(X307,-20)</f>
        <v>46254</v>
      </c>
      <c r="X307" s="90">
        <v>46282</v>
      </c>
      <c r="Y307" s="88">
        <v>0</v>
      </c>
      <c r="Z307" s="93">
        <v>46302</v>
      </c>
      <c r="AA307" s="90">
        <v>46344</v>
      </c>
      <c r="AB307" s="88">
        <v>0</v>
      </c>
      <c r="AC307" s="79" t="s">
        <v>49</v>
      </c>
      <c r="AD307" s="79" t="s">
        <v>49</v>
      </c>
      <c r="AE307" s="90"/>
      <c r="AF307" s="88">
        <v>0</v>
      </c>
      <c r="AG307" s="93" cm="1">
        <f t="array" ref="AG307">WORKDAY(AA307,2)</f>
        <v>46346</v>
      </c>
      <c r="AH307" s="90" cm="1">
        <f t="array" ref="AH307">WORKDAY(AG307,1)</f>
        <v>46349</v>
      </c>
      <c r="AI307" s="86" cm="1">
        <f t="array" ref="AI307">WORKDAY(AH307,1)</f>
        <v>46350</v>
      </c>
      <c r="AJ307" s="145"/>
      <c r="AK307" s="56"/>
    </row>
    <row r="308" spans="1:37" ht="25.5" customHeight="1">
      <c r="A308" s="140" cm="1">
        <f t="array" ref="A308">A307+1</f>
        <v>293</v>
      </c>
      <c r="B308" s="79" t="s">
        <v>1397</v>
      </c>
      <c r="C308" s="104">
        <v>2</v>
      </c>
      <c r="D308" s="79" t="s">
        <v>1388</v>
      </c>
      <c r="E308" s="79" t="s">
        <v>1398</v>
      </c>
      <c r="F308" s="79" t="s">
        <v>78</v>
      </c>
      <c r="G308" s="80" t="s">
        <v>1390</v>
      </c>
      <c r="H308" s="81">
        <v>93940</v>
      </c>
      <c r="I308" s="109"/>
      <c r="J308" s="110">
        <v>124</v>
      </c>
      <c r="K308" s="100">
        <v>0</v>
      </c>
      <c r="L308" s="105" cm="1">
        <f t="array" ref="L308">WORKDAY(M308,-10)</f>
        <v>46133</v>
      </c>
      <c r="M308" s="85">
        <v>46147</v>
      </c>
      <c r="N308" s="86" cm="1">
        <f t="array" ref="N308">WORKDAY(M308,10)</f>
        <v>46161</v>
      </c>
      <c r="O308" s="87">
        <v>0</v>
      </c>
      <c r="P308" s="88">
        <v>0</v>
      </c>
      <c r="Q308" s="89">
        <v>46136</v>
      </c>
      <c r="R308" s="96">
        <v>46164</v>
      </c>
      <c r="S308" s="86" cm="1">
        <f t="array" ref="S308">WORKDAY(R308,10)</f>
        <v>46178</v>
      </c>
      <c r="T308" s="87">
        <v>0</v>
      </c>
      <c r="U308" s="91" t="s">
        <v>105</v>
      </c>
      <c r="V308" s="92">
        <v>0</v>
      </c>
      <c r="W308" s="93" cm="1">
        <f t="array" ref="W308">WORKDAY(X308,-20)</f>
        <v>46244</v>
      </c>
      <c r="X308" s="90">
        <v>46272</v>
      </c>
      <c r="Y308" s="88">
        <v>0</v>
      </c>
      <c r="Z308" s="93">
        <v>46275</v>
      </c>
      <c r="AA308" s="90">
        <v>46344</v>
      </c>
      <c r="AB308" s="88">
        <v>0</v>
      </c>
      <c r="AC308" s="79" t="s">
        <v>49</v>
      </c>
      <c r="AD308" s="79" t="s">
        <v>49</v>
      </c>
      <c r="AE308" s="90"/>
      <c r="AF308" s="88">
        <v>0</v>
      </c>
      <c r="AG308" s="93" cm="1">
        <f t="array" ref="AG308">WORKDAY(AA308,2)</f>
        <v>46346</v>
      </c>
      <c r="AH308" s="90" cm="1">
        <f t="array" ref="AH308">WORKDAY(AG308,1)</f>
        <v>46349</v>
      </c>
      <c r="AI308" s="86" cm="1">
        <f t="array" ref="AI308">WORKDAY(AH308,1)</f>
        <v>46350</v>
      </c>
      <c r="AJ308" s="145"/>
      <c r="AK308" s="56"/>
    </row>
    <row r="309" spans="1:37" ht="25.5" customHeight="1">
      <c r="A309" s="140" cm="1">
        <f t="array" ref="A309">A308+1</f>
        <v>294</v>
      </c>
      <c r="B309" s="79" t="s">
        <v>621</v>
      </c>
      <c r="C309" s="95">
        <v>3</v>
      </c>
      <c r="D309" s="79" t="s">
        <v>116</v>
      </c>
      <c r="E309" s="79" t="s">
        <v>622</v>
      </c>
      <c r="F309" s="79"/>
      <c r="G309" s="80" t="s">
        <v>113</v>
      </c>
      <c r="H309" s="81">
        <v>42091</v>
      </c>
      <c r="I309" s="79" t="s">
        <v>623</v>
      </c>
      <c r="J309" s="98"/>
      <c r="K309" s="106" t="s">
        <v>104</v>
      </c>
      <c r="L309" s="84">
        <v>46142</v>
      </c>
      <c r="M309" s="85">
        <v>46171</v>
      </c>
      <c r="N309" s="86" cm="1">
        <f t="array" ref="N309">WORKDAY(M309,10)</f>
        <v>46185</v>
      </c>
      <c r="O309" s="87">
        <v>0</v>
      </c>
      <c r="P309" s="88">
        <v>0</v>
      </c>
      <c r="Q309" s="89">
        <v>46167</v>
      </c>
      <c r="R309" s="96">
        <v>46195</v>
      </c>
      <c r="S309" s="86" cm="1">
        <f t="array" ref="S309">WORKDAY(R309,10)</f>
        <v>46209</v>
      </c>
      <c r="T309" s="87">
        <v>0</v>
      </c>
      <c r="U309" s="91" t="s">
        <v>105</v>
      </c>
      <c r="V309" s="92">
        <v>0</v>
      </c>
      <c r="W309" s="93" cm="1">
        <f t="array" ref="W309">WORKDAY(X309,-20)</f>
        <v>46255</v>
      </c>
      <c r="X309" s="90">
        <v>46283</v>
      </c>
      <c r="Y309" s="88">
        <v>0</v>
      </c>
      <c r="Z309" s="93">
        <v>46303</v>
      </c>
      <c r="AA309" s="90">
        <v>46345</v>
      </c>
      <c r="AB309" s="88">
        <v>0</v>
      </c>
      <c r="AC309" s="79" t="s">
        <v>49</v>
      </c>
      <c r="AD309" s="79" t="s">
        <v>49</v>
      </c>
      <c r="AE309" s="90"/>
      <c r="AF309" s="88">
        <v>0</v>
      </c>
      <c r="AG309" s="93" cm="1">
        <f t="array" ref="AG309">WORKDAY(AA309,2)</f>
        <v>46349</v>
      </c>
      <c r="AH309" s="90" cm="1">
        <f t="array" ref="AH309">WORKDAY(AG309,1)</f>
        <v>46350</v>
      </c>
      <c r="AI309" s="86" cm="1">
        <f t="array" ref="AI309">WORKDAY(AH309,1)</f>
        <v>46351</v>
      </c>
      <c r="AJ309" s="145"/>
      <c r="AK309" s="56"/>
    </row>
    <row r="310" spans="1:37" ht="25.5" customHeight="1">
      <c r="A310" s="140" cm="1">
        <f t="array" ref="A310">A309+1</f>
        <v>295</v>
      </c>
      <c r="B310" s="79" t="s">
        <v>624</v>
      </c>
      <c r="C310" s="95">
        <v>3</v>
      </c>
      <c r="D310" s="79" t="s">
        <v>116</v>
      </c>
      <c r="E310" s="79" t="s">
        <v>625</v>
      </c>
      <c r="F310" s="79"/>
      <c r="G310" s="80" t="s">
        <v>113</v>
      </c>
      <c r="H310" s="81">
        <v>42091</v>
      </c>
      <c r="I310" s="79" t="s">
        <v>626</v>
      </c>
      <c r="J310" s="98"/>
      <c r="K310" s="106" t="s">
        <v>104</v>
      </c>
      <c r="L310" s="84">
        <v>46142</v>
      </c>
      <c r="M310" s="85">
        <v>46171</v>
      </c>
      <c r="N310" s="86" cm="1">
        <f t="array" ref="N310">WORKDAY(M310,10)</f>
        <v>46185</v>
      </c>
      <c r="O310" s="87">
        <v>0</v>
      </c>
      <c r="P310" s="88">
        <v>0</v>
      </c>
      <c r="Q310" s="89">
        <v>46167</v>
      </c>
      <c r="R310" s="96">
        <v>46195</v>
      </c>
      <c r="S310" s="86" cm="1">
        <f t="array" ref="S310">WORKDAY(R310,10)</f>
        <v>46209</v>
      </c>
      <c r="T310" s="87">
        <v>0</v>
      </c>
      <c r="U310" s="91" t="s">
        <v>105</v>
      </c>
      <c r="V310" s="92">
        <v>0</v>
      </c>
      <c r="W310" s="93" cm="1">
        <f t="array" ref="W310">WORKDAY(X310,-20)</f>
        <v>46255</v>
      </c>
      <c r="X310" s="90">
        <v>46283</v>
      </c>
      <c r="Y310" s="88">
        <v>0</v>
      </c>
      <c r="Z310" s="93">
        <v>46303</v>
      </c>
      <c r="AA310" s="90">
        <v>46345</v>
      </c>
      <c r="AB310" s="88">
        <v>0</v>
      </c>
      <c r="AC310" s="79" t="s">
        <v>49</v>
      </c>
      <c r="AD310" s="79" t="s">
        <v>49</v>
      </c>
      <c r="AE310" s="90"/>
      <c r="AF310" s="88">
        <v>0</v>
      </c>
      <c r="AG310" s="93" cm="1">
        <f t="array" ref="AG310">WORKDAY(AA310,2)</f>
        <v>46349</v>
      </c>
      <c r="AH310" s="90" cm="1">
        <f t="array" ref="AH310">WORKDAY(AG310,1)</f>
        <v>46350</v>
      </c>
      <c r="AI310" s="86" cm="1">
        <f t="array" ref="AI310">WORKDAY(AH310,1)</f>
        <v>46351</v>
      </c>
      <c r="AJ310" s="145"/>
      <c r="AK310" s="56"/>
    </row>
    <row r="311" spans="1:37" ht="25.5" customHeight="1">
      <c r="A311" s="140" cm="1">
        <f t="array" ref="A311">A310+1</f>
        <v>296</v>
      </c>
      <c r="B311" s="79" t="s">
        <v>1399</v>
      </c>
      <c r="C311" s="104">
        <v>2</v>
      </c>
      <c r="D311" s="79" t="s">
        <v>1388</v>
      </c>
      <c r="E311" s="79" t="s">
        <v>1400</v>
      </c>
      <c r="F311" s="79" t="s">
        <v>78</v>
      </c>
      <c r="G311" s="80" t="s">
        <v>1390</v>
      </c>
      <c r="H311" s="81">
        <v>93940</v>
      </c>
      <c r="I311" s="109"/>
      <c r="J311" s="110">
        <v>125</v>
      </c>
      <c r="K311" s="100">
        <v>0</v>
      </c>
      <c r="L311" s="105" cm="1">
        <f t="array" ref="L311">WORKDAY(M311,-10)</f>
        <v>46133</v>
      </c>
      <c r="M311" s="85">
        <v>46147</v>
      </c>
      <c r="N311" s="86" cm="1">
        <f t="array" ref="N311">WORKDAY(M311,10)</f>
        <v>46161</v>
      </c>
      <c r="O311" s="87">
        <v>0</v>
      </c>
      <c r="P311" s="88">
        <v>0</v>
      </c>
      <c r="Q311" s="89">
        <v>46136</v>
      </c>
      <c r="R311" s="96">
        <v>46164</v>
      </c>
      <c r="S311" s="86" cm="1">
        <f t="array" ref="S311">WORKDAY(R311,10)</f>
        <v>46178</v>
      </c>
      <c r="T311" s="87">
        <v>0</v>
      </c>
      <c r="U311" s="91" t="s">
        <v>105</v>
      </c>
      <c r="V311" s="92">
        <v>0</v>
      </c>
      <c r="W311" s="93" cm="1">
        <f t="array" ref="W311">WORKDAY(X311,-20)</f>
        <v>46245</v>
      </c>
      <c r="X311" s="90">
        <v>46273</v>
      </c>
      <c r="Y311" s="88">
        <v>0</v>
      </c>
      <c r="Z311" s="93">
        <v>46276</v>
      </c>
      <c r="AA311" s="90">
        <v>46345</v>
      </c>
      <c r="AB311" s="88">
        <v>0</v>
      </c>
      <c r="AC311" s="79" t="s">
        <v>49</v>
      </c>
      <c r="AD311" s="79" t="s">
        <v>49</v>
      </c>
      <c r="AE311" s="90"/>
      <c r="AF311" s="88">
        <v>0</v>
      </c>
      <c r="AG311" s="93" cm="1">
        <f t="array" ref="AG311">WORKDAY(AA311,2)</f>
        <v>46349</v>
      </c>
      <c r="AH311" s="90" cm="1">
        <f t="array" ref="AH311">WORKDAY(AG311,1)</f>
        <v>46350</v>
      </c>
      <c r="AI311" s="86" cm="1">
        <f t="array" ref="AI311">WORKDAY(AH311,1)</f>
        <v>46351</v>
      </c>
      <c r="AJ311" s="145"/>
      <c r="AK311" s="56"/>
    </row>
    <row r="312" spans="1:37" ht="25.5" customHeight="1">
      <c r="A312" s="140" cm="1">
        <f t="array" ref="A312">A311+1</f>
        <v>297</v>
      </c>
      <c r="B312" s="79" t="s">
        <v>627</v>
      </c>
      <c r="C312" s="95">
        <v>3</v>
      </c>
      <c r="D312" s="79" t="s">
        <v>116</v>
      </c>
      <c r="E312" s="79" t="s">
        <v>628</v>
      </c>
      <c r="F312" s="79"/>
      <c r="G312" s="80" t="s">
        <v>113</v>
      </c>
      <c r="H312" s="81">
        <v>42091</v>
      </c>
      <c r="I312" s="79" t="s">
        <v>629</v>
      </c>
      <c r="J312" s="98"/>
      <c r="K312" s="106" t="s">
        <v>104</v>
      </c>
      <c r="L312" s="84">
        <v>46142</v>
      </c>
      <c r="M312" s="85">
        <v>46171</v>
      </c>
      <c r="N312" s="86" cm="1">
        <f t="array" ref="N312">WORKDAY(M312,10)</f>
        <v>46185</v>
      </c>
      <c r="O312" s="87">
        <v>0</v>
      </c>
      <c r="P312" s="88">
        <v>0</v>
      </c>
      <c r="Q312" s="89">
        <v>46167</v>
      </c>
      <c r="R312" s="96">
        <v>46195</v>
      </c>
      <c r="S312" s="86" cm="1">
        <f t="array" ref="S312">WORKDAY(R312,10)</f>
        <v>46209</v>
      </c>
      <c r="T312" s="87">
        <v>0</v>
      </c>
      <c r="U312" s="91" t="s">
        <v>105</v>
      </c>
      <c r="V312" s="92">
        <v>0</v>
      </c>
      <c r="W312" s="93" cm="1">
        <f t="array" ref="W312">WORKDAY(X312,-20)</f>
        <v>46255</v>
      </c>
      <c r="X312" s="90">
        <v>46283</v>
      </c>
      <c r="Y312" s="88">
        <v>0</v>
      </c>
      <c r="Z312" s="93">
        <v>46307</v>
      </c>
      <c r="AA312" s="90">
        <v>46349</v>
      </c>
      <c r="AB312" s="88">
        <v>0</v>
      </c>
      <c r="AC312" s="79" t="s">
        <v>49</v>
      </c>
      <c r="AD312" s="79" t="s">
        <v>49</v>
      </c>
      <c r="AE312" s="90"/>
      <c r="AF312" s="88">
        <v>0</v>
      </c>
      <c r="AG312" s="93" cm="1">
        <f t="array" ref="AG312">WORKDAY(AA312,2)</f>
        <v>46351</v>
      </c>
      <c r="AH312" s="90" cm="1">
        <f t="array" ref="AH312">WORKDAY(AG312,1)</f>
        <v>46352</v>
      </c>
      <c r="AI312" s="86" cm="1">
        <f t="array" ref="AI312">WORKDAY(AH312,1)</f>
        <v>46353</v>
      </c>
      <c r="AJ312" s="145"/>
      <c r="AK312" s="56"/>
    </row>
    <row r="313" spans="1:37" ht="25.5" customHeight="1">
      <c r="A313" s="140" cm="1">
        <f t="array" ref="A313">A312+1</f>
        <v>298</v>
      </c>
      <c r="B313" s="79" t="s">
        <v>630</v>
      </c>
      <c r="C313" s="95">
        <v>3</v>
      </c>
      <c r="D313" s="79" t="s">
        <v>116</v>
      </c>
      <c r="E313" s="79" t="s">
        <v>631</v>
      </c>
      <c r="F313" s="79"/>
      <c r="G313" s="80" t="s">
        <v>113</v>
      </c>
      <c r="H313" s="81">
        <v>42091</v>
      </c>
      <c r="I313" s="79" t="s">
        <v>632</v>
      </c>
      <c r="J313" s="98"/>
      <c r="K313" s="106" t="s">
        <v>104</v>
      </c>
      <c r="L313" s="84">
        <v>46142</v>
      </c>
      <c r="M313" s="85">
        <v>46171</v>
      </c>
      <c r="N313" s="86" cm="1">
        <f t="array" ref="N313">WORKDAY(M313,10)</f>
        <v>46185</v>
      </c>
      <c r="O313" s="87">
        <v>0</v>
      </c>
      <c r="P313" s="88">
        <v>0</v>
      </c>
      <c r="Q313" s="89">
        <v>46167</v>
      </c>
      <c r="R313" s="96">
        <v>46195</v>
      </c>
      <c r="S313" s="86" cm="1">
        <f t="array" ref="S313">WORKDAY(R313,10)</f>
        <v>46209</v>
      </c>
      <c r="T313" s="87">
        <v>0</v>
      </c>
      <c r="U313" s="91" t="s">
        <v>105</v>
      </c>
      <c r="V313" s="92">
        <v>0</v>
      </c>
      <c r="W313" s="93" cm="1">
        <f t="array" ref="W313">WORKDAY(X313,-20)</f>
        <v>46258</v>
      </c>
      <c r="X313" s="90">
        <v>46286</v>
      </c>
      <c r="Y313" s="88">
        <v>0</v>
      </c>
      <c r="Z313" s="93">
        <v>46307</v>
      </c>
      <c r="AA313" s="90">
        <v>46349</v>
      </c>
      <c r="AB313" s="88">
        <v>0</v>
      </c>
      <c r="AC313" s="79" t="s">
        <v>49</v>
      </c>
      <c r="AD313" s="79" t="s">
        <v>49</v>
      </c>
      <c r="AE313" s="90"/>
      <c r="AF313" s="88">
        <v>0</v>
      </c>
      <c r="AG313" s="93" cm="1">
        <f t="array" ref="AG313">WORKDAY(AA313,2)</f>
        <v>46351</v>
      </c>
      <c r="AH313" s="90" cm="1">
        <f t="array" ref="AH313">WORKDAY(AG313,1)</f>
        <v>46352</v>
      </c>
      <c r="AI313" s="86" cm="1">
        <f t="array" ref="AI313">WORKDAY(AH313,1)</f>
        <v>46353</v>
      </c>
      <c r="AJ313" s="145"/>
      <c r="AK313" s="56"/>
    </row>
    <row r="314" spans="1:37" ht="25.5" customHeight="1">
      <c r="A314" s="140" cm="1">
        <f t="array" ref="A314">A313+1</f>
        <v>299</v>
      </c>
      <c r="B314" s="79" t="s">
        <v>1401</v>
      </c>
      <c r="C314" s="104">
        <v>2</v>
      </c>
      <c r="D314" s="79" t="s">
        <v>1402</v>
      </c>
      <c r="E314" s="79" t="s">
        <v>1403</v>
      </c>
      <c r="F314" s="79" t="s">
        <v>78</v>
      </c>
      <c r="G314" s="80" t="s">
        <v>1390</v>
      </c>
      <c r="H314" s="81">
        <v>93940</v>
      </c>
      <c r="I314" s="109"/>
      <c r="J314" s="110">
        <v>126</v>
      </c>
      <c r="K314" s="100">
        <v>0</v>
      </c>
      <c r="L314" s="105" cm="1">
        <f t="array" ref="L314">WORKDAY(M314,-10)</f>
        <v>46133</v>
      </c>
      <c r="M314" s="85">
        <v>46147</v>
      </c>
      <c r="N314" s="86" cm="1">
        <f t="array" ref="N314">WORKDAY(M314,10)</f>
        <v>46161</v>
      </c>
      <c r="O314" s="87">
        <v>0</v>
      </c>
      <c r="P314" s="88">
        <v>0</v>
      </c>
      <c r="Q314" s="89">
        <v>46136</v>
      </c>
      <c r="R314" s="96">
        <v>46164</v>
      </c>
      <c r="S314" s="86" cm="1">
        <f t="array" ref="S314">WORKDAY(R314,10)</f>
        <v>46178</v>
      </c>
      <c r="T314" s="87">
        <v>0</v>
      </c>
      <c r="U314" s="91" t="s">
        <v>105</v>
      </c>
      <c r="V314" s="92">
        <v>0</v>
      </c>
      <c r="W314" s="93" cm="1">
        <f t="array" ref="W314">WORKDAY(X314,-20)</f>
        <v>46246</v>
      </c>
      <c r="X314" s="90">
        <v>46274</v>
      </c>
      <c r="Y314" s="88">
        <v>0</v>
      </c>
      <c r="Z314" s="93">
        <v>46279</v>
      </c>
      <c r="AA314" s="90">
        <v>46349</v>
      </c>
      <c r="AB314" s="88">
        <v>0</v>
      </c>
      <c r="AC314" s="79" t="s">
        <v>49</v>
      </c>
      <c r="AD314" s="79" t="s">
        <v>49</v>
      </c>
      <c r="AE314" s="90"/>
      <c r="AF314" s="88">
        <v>0</v>
      </c>
      <c r="AG314" s="93" cm="1">
        <f t="array" ref="AG314">WORKDAY(AA314,2)</f>
        <v>46351</v>
      </c>
      <c r="AH314" s="90" cm="1">
        <f t="array" ref="AH314">WORKDAY(AG314,1)</f>
        <v>46352</v>
      </c>
      <c r="AI314" s="86" cm="1">
        <f t="array" ref="AI314">WORKDAY(AH314,1)</f>
        <v>46353</v>
      </c>
      <c r="AJ314" s="145"/>
      <c r="AK314" s="56"/>
    </row>
    <row r="315" spans="1:37" ht="25.5" customHeight="1">
      <c r="A315" s="140" cm="1">
        <f t="array" ref="A315">A314+1</f>
        <v>300</v>
      </c>
      <c r="B315" s="79" t="s">
        <v>633</v>
      </c>
      <c r="C315" s="95">
        <v>3</v>
      </c>
      <c r="D315" s="79" t="s">
        <v>116</v>
      </c>
      <c r="E315" s="79" t="s">
        <v>634</v>
      </c>
      <c r="F315" s="79"/>
      <c r="G315" s="80" t="s">
        <v>113</v>
      </c>
      <c r="H315" s="81">
        <v>42091</v>
      </c>
      <c r="I315" s="79" t="s">
        <v>635</v>
      </c>
      <c r="J315" s="98"/>
      <c r="K315" s="100">
        <v>0.98</v>
      </c>
      <c r="L315" s="105" cm="1">
        <f t="array" ref="L315">WORKDAY(M315,-20)</f>
        <v>46171</v>
      </c>
      <c r="M315" s="85">
        <v>46199</v>
      </c>
      <c r="N315" s="86" cm="1">
        <f t="array" ref="N315">WORKDAY(M315,10)</f>
        <v>46213</v>
      </c>
      <c r="O315" s="87">
        <v>0</v>
      </c>
      <c r="P315" s="88">
        <v>0</v>
      </c>
      <c r="Q315" s="89">
        <v>46167</v>
      </c>
      <c r="R315" s="96">
        <v>46195</v>
      </c>
      <c r="S315" s="86" cm="1">
        <f t="array" ref="S315">WORKDAY(R315,10)</f>
        <v>46209</v>
      </c>
      <c r="T315" s="87">
        <v>0</v>
      </c>
      <c r="U315" s="91" t="s">
        <v>105</v>
      </c>
      <c r="V315" s="92">
        <v>0</v>
      </c>
      <c r="W315" s="93" cm="1">
        <f t="array" ref="W315">WORKDAY(X315,-20)</f>
        <v>46258</v>
      </c>
      <c r="X315" s="90">
        <v>46286</v>
      </c>
      <c r="Y315" s="88">
        <v>0</v>
      </c>
      <c r="Z315" s="93">
        <v>46308</v>
      </c>
      <c r="AA315" s="90">
        <v>46350</v>
      </c>
      <c r="AB315" s="88">
        <v>0</v>
      </c>
      <c r="AC315" s="79" t="s">
        <v>49</v>
      </c>
      <c r="AD315" s="79" t="s">
        <v>49</v>
      </c>
      <c r="AE315" s="90"/>
      <c r="AF315" s="88">
        <v>0</v>
      </c>
      <c r="AG315" s="93" cm="1">
        <f t="array" ref="AG315">WORKDAY(AA315,2)</f>
        <v>46352</v>
      </c>
      <c r="AH315" s="90" cm="1">
        <f t="array" ref="AH315">WORKDAY(AG315,1)</f>
        <v>46353</v>
      </c>
      <c r="AI315" s="86" cm="1">
        <f t="array" ref="AI315">WORKDAY(AH315,1)</f>
        <v>46356</v>
      </c>
      <c r="AJ315" s="145"/>
      <c r="AK315" s="56"/>
    </row>
    <row r="316" spans="1:37" ht="25.5" customHeight="1">
      <c r="A316" s="140" cm="1">
        <f t="array" ref="A316">A315+1</f>
        <v>301</v>
      </c>
      <c r="B316" s="79" t="s">
        <v>636</v>
      </c>
      <c r="C316" s="95">
        <v>3</v>
      </c>
      <c r="D316" s="79" t="s">
        <v>116</v>
      </c>
      <c r="E316" s="79" t="s">
        <v>637</v>
      </c>
      <c r="F316" s="79"/>
      <c r="G316" s="80" t="s">
        <v>113</v>
      </c>
      <c r="H316" s="81">
        <v>42091</v>
      </c>
      <c r="I316" s="79" t="s">
        <v>638</v>
      </c>
      <c r="J316" s="98"/>
      <c r="K316" s="106" t="s">
        <v>104</v>
      </c>
      <c r="L316" s="84">
        <v>46142</v>
      </c>
      <c r="M316" s="85">
        <v>46171</v>
      </c>
      <c r="N316" s="86" cm="1">
        <f t="array" ref="N316">WORKDAY(M316,10)</f>
        <v>46185</v>
      </c>
      <c r="O316" s="87">
        <v>0</v>
      </c>
      <c r="P316" s="88">
        <v>0</v>
      </c>
      <c r="Q316" s="89">
        <v>46167</v>
      </c>
      <c r="R316" s="96">
        <v>46195</v>
      </c>
      <c r="S316" s="86" cm="1">
        <f t="array" ref="S316">WORKDAY(R316,10)</f>
        <v>46209</v>
      </c>
      <c r="T316" s="87">
        <v>0</v>
      </c>
      <c r="U316" s="91" t="s">
        <v>105</v>
      </c>
      <c r="V316" s="92">
        <v>0</v>
      </c>
      <c r="W316" s="93" cm="1">
        <f t="array" ref="W316">WORKDAY(X316,-20)</f>
        <v>46258</v>
      </c>
      <c r="X316" s="90">
        <v>46286</v>
      </c>
      <c r="Y316" s="88">
        <v>0</v>
      </c>
      <c r="Z316" s="93">
        <v>46308</v>
      </c>
      <c r="AA316" s="90">
        <v>46350</v>
      </c>
      <c r="AB316" s="88">
        <v>0</v>
      </c>
      <c r="AC316" s="79" t="s">
        <v>49</v>
      </c>
      <c r="AD316" s="79" t="s">
        <v>49</v>
      </c>
      <c r="AE316" s="90"/>
      <c r="AF316" s="88">
        <v>0</v>
      </c>
      <c r="AG316" s="93" cm="1">
        <f t="array" ref="AG316">WORKDAY(AA316,2)</f>
        <v>46352</v>
      </c>
      <c r="AH316" s="90" cm="1">
        <f t="array" ref="AH316">WORKDAY(AG316,1)</f>
        <v>46353</v>
      </c>
      <c r="AI316" s="86" cm="1">
        <f t="array" ref="AI316">WORKDAY(AH316,1)</f>
        <v>46356</v>
      </c>
      <c r="AJ316" s="145"/>
      <c r="AK316" s="56"/>
    </row>
    <row r="317" spans="1:37" ht="25.5" customHeight="1">
      <c r="A317" s="140" cm="1">
        <f t="array" ref="A317">A316+1</f>
        <v>302</v>
      </c>
      <c r="B317" s="79" t="s">
        <v>1404</v>
      </c>
      <c r="C317" s="104">
        <v>2</v>
      </c>
      <c r="D317" s="79" t="s">
        <v>1402</v>
      </c>
      <c r="E317" s="79" t="s">
        <v>1405</v>
      </c>
      <c r="F317" s="79" t="s">
        <v>78</v>
      </c>
      <c r="G317" s="80" t="s">
        <v>1390</v>
      </c>
      <c r="H317" s="81">
        <v>93940</v>
      </c>
      <c r="I317" s="109"/>
      <c r="J317" s="110">
        <v>127</v>
      </c>
      <c r="K317" s="100">
        <v>0</v>
      </c>
      <c r="L317" s="105" cm="1">
        <f t="array" ref="L317">WORKDAY(M317,-10)</f>
        <v>46133</v>
      </c>
      <c r="M317" s="85">
        <v>46147</v>
      </c>
      <c r="N317" s="86" cm="1">
        <f t="array" ref="N317">WORKDAY(M317,10)</f>
        <v>46161</v>
      </c>
      <c r="O317" s="87">
        <v>0</v>
      </c>
      <c r="P317" s="88">
        <v>0</v>
      </c>
      <c r="Q317" s="89">
        <v>46136</v>
      </c>
      <c r="R317" s="96">
        <v>46164</v>
      </c>
      <c r="S317" s="86" cm="1">
        <f t="array" ref="S317">WORKDAY(R317,10)</f>
        <v>46178</v>
      </c>
      <c r="T317" s="87">
        <v>0</v>
      </c>
      <c r="U317" s="91" t="s">
        <v>105</v>
      </c>
      <c r="V317" s="92">
        <v>0</v>
      </c>
      <c r="W317" s="93" cm="1">
        <f t="array" ref="W317">WORKDAY(X317,-20)</f>
        <v>46246</v>
      </c>
      <c r="X317" s="90">
        <v>46274</v>
      </c>
      <c r="Y317" s="88">
        <v>0</v>
      </c>
      <c r="Z317" s="93">
        <v>46279</v>
      </c>
      <c r="AA317" s="90">
        <v>46350</v>
      </c>
      <c r="AB317" s="88">
        <v>0</v>
      </c>
      <c r="AC317" s="79" t="s">
        <v>49</v>
      </c>
      <c r="AD317" s="79" t="s">
        <v>49</v>
      </c>
      <c r="AE317" s="90"/>
      <c r="AF317" s="88">
        <v>0</v>
      </c>
      <c r="AG317" s="93" cm="1">
        <f t="array" ref="AG317">WORKDAY(AA317,2)</f>
        <v>46352</v>
      </c>
      <c r="AH317" s="90" cm="1">
        <f t="array" ref="AH317">WORKDAY(AG317,1)</f>
        <v>46353</v>
      </c>
      <c r="AI317" s="86" cm="1">
        <f t="array" ref="AI317">WORKDAY(AH317,1)</f>
        <v>46356</v>
      </c>
      <c r="AJ317" s="145"/>
      <c r="AK317" s="56"/>
    </row>
    <row r="318" spans="1:37" ht="25.5" customHeight="1">
      <c r="A318" s="140" cm="1">
        <f t="array" ref="A318">A317+1</f>
        <v>303</v>
      </c>
      <c r="B318" s="79" t="s">
        <v>639</v>
      </c>
      <c r="C318" s="95">
        <v>3</v>
      </c>
      <c r="D318" s="79" t="s">
        <v>116</v>
      </c>
      <c r="E318" s="79" t="s">
        <v>640</v>
      </c>
      <c r="F318" s="79"/>
      <c r="G318" s="80" t="s">
        <v>113</v>
      </c>
      <c r="H318" s="81">
        <v>42091</v>
      </c>
      <c r="I318" s="79" t="s">
        <v>641</v>
      </c>
      <c r="J318" s="98"/>
      <c r="K318" s="106" t="s">
        <v>104</v>
      </c>
      <c r="L318" s="84">
        <v>46142</v>
      </c>
      <c r="M318" s="85">
        <v>46171</v>
      </c>
      <c r="N318" s="86" cm="1">
        <f t="array" ref="N318">WORKDAY(M318,10)</f>
        <v>46185</v>
      </c>
      <c r="O318" s="87">
        <v>0</v>
      </c>
      <c r="P318" s="88">
        <v>0</v>
      </c>
      <c r="Q318" s="89">
        <v>46167</v>
      </c>
      <c r="R318" s="96">
        <v>46195</v>
      </c>
      <c r="S318" s="86" cm="1">
        <f t="array" ref="S318">WORKDAY(R318,10)</f>
        <v>46209</v>
      </c>
      <c r="T318" s="87">
        <v>0</v>
      </c>
      <c r="U318" s="91" t="s">
        <v>105</v>
      </c>
      <c r="V318" s="92">
        <v>0</v>
      </c>
      <c r="W318" s="93" cm="1">
        <f t="array" ref="W318">WORKDAY(X318,-20)</f>
        <v>46259</v>
      </c>
      <c r="X318" s="90">
        <v>46287</v>
      </c>
      <c r="Y318" s="88">
        <v>0</v>
      </c>
      <c r="Z318" s="93">
        <v>46309</v>
      </c>
      <c r="AA318" s="90">
        <v>46351</v>
      </c>
      <c r="AB318" s="88">
        <v>0</v>
      </c>
      <c r="AC318" s="79" t="s">
        <v>49</v>
      </c>
      <c r="AD318" s="79" t="s">
        <v>49</v>
      </c>
      <c r="AE318" s="90"/>
      <c r="AF318" s="88">
        <v>0</v>
      </c>
      <c r="AG318" s="93" cm="1">
        <f t="array" ref="AG318">WORKDAY(AA318,2)</f>
        <v>46353</v>
      </c>
      <c r="AH318" s="90" cm="1">
        <f t="array" ref="AH318">WORKDAY(AG318,1)</f>
        <v>46356</v>
      </c>
      <c r="AI318" s="86" cm="1">
        <f t="array" ref="AI318">WORKDAY(AH318,1)</f>
        <v>46357</v>
      </c>
      <c r="AJ318" s="145"/>
      <c r="AK318" s="56"/>
    </row>
    <row r="319" spans="1:37" ht="25.5" customHeight="1">
      <c r="A319" s="140" cm="1">
        <f t="array" ref="A319">A318+1</f>
        <v>304</v>
      </c>
      <c r="B319" s="79" t="s">
        <v>642</v>
      </c>
      <c r="C319" s="95">
        <v>3</v>
      </c>
      <c r="D319" s="79" t="s">
        <v>116</v>
      </c>
      <c r="E319" s="79" t="s">
        <v>643</v>
      </c>
      <c r="F319" s="79"/>
      <c r="G319" s="80" t="s">
        <v>113</v>
      </c>
      <c r="H319" s="81">
        <v>42091</v>
      </c>
      <c r="I319" s="79" t="s">
        <v>644</v>
      </c>
      <c r="J319" s="98"/>
      <c r="K319" s="106" t="s">
        <v>104</v>
      </c>
      <c r="L319" s="84">
        <v>46142</v>
      </c>
      <c r="M319" s="85">
        <v>46171</v>
      </c>
      <c r="N319" s="86" cm="1">
        <f t="array" ref="N319">WORKDAY(M319,10)</f>
        <v>46185</v>
      </c>
      <c r="O319" s="87">
        <v>0</v>
      </c>
      <c r="P319" s="88">
        <v>0</v>
      </c>
      <c r="Q319" s="89">
        <v>46167</v>
      </c>
      <c r="R319" s="96">
        <v>46195</v>
      </c>
      <c r="S319" s="86" cm="1">
        <f t="array" ref="S319">WORKDAY(R319,10)</f>
        <v>46209</v>
      </c>
      <c r="T319" s="87">
        <v>0</v>
      </c>
      <c r="U319" s="91" t="s">
        <v>105</v>
      </c>
      <c r="V319" s="92">
        <v>0</v>
      </c>
      <c r="W319" s="93" cm="1">
        <f t="array" ref="W319">WORKDAY(X319,-20)</f>
        <v>46259</v>
      </c>
      <c r="X319" s="90">
        <v>46287</v>
      </c>
      <c r="Y319" s="88">
        <v>0</v>
      </c>
      <c r="Z319" s="93">
        <v>46309</v>
      </c>
      <c r="AA319" s="90">
        <v>46351</v>
      </c>
      <c r="AB319" s="88">
        <v>0</v>
      </c>
      <c r="AC319" s="79" t="s">
        <v>49</v>
      </c>
      <c r="AD319" s="79" t="s">
        <v>49</v>
      </c>
      <c r="AE319" s="90"/>
      <c r="AF319" s="88">
        <v>0</v>
      </c>
      <c r="AG319" s="93" cm="1">
        <f t="array" ref="AG319">WORKDAY(AA319,2)</f>
        <v>46353</v>
      </c>
      <c r="AH319" s="90" cm="1">
        <f t="array" ref="AH319">WORKDAY(AG319,1)</f>
        <v>46356</v>
      </c>
      <c r="AI319" s="86" cm="1">
        <f t="array" ref="AI319">WORKDAY(AH319,1)</f>
        <v>46357</v>
      </c>
      <c r="AJ319" s="145"/>
      <c r="AK319" s="56"/>
    </row>
    <row r="320" spans="1:37" ht="25.5" customHeight="1">
      <c r="A320" s="140" cm="1">
        <f t="array" ref="A320">A319+1</f>
        <v>305</v>
      </c>
      <c r="B320" s="79" t="s">
        <v>1406</v>
      </c>
      <c r="C320" s="104">
        <v>2</v>
      </c>
      <c r="D320" s="79" t="s">
        <v>1402</v>
      </c>
      <c r="E320" s="79" t="s">
        <v>1407</v>
      </c>
      <c r="F320" s="79" t="s">
        <v>78</v>
      </c>
      <c r="G320" s="80" t="s">
        <v>1390</v>
      </c>
      <c r="H320" s="81">
        <v>93940</v>
      </c>
      <c r="I320" s="109"/>
      <c r="J320" s="110">
        <v>128</v>
      </c>
      <c r="K320" s="100">
        <v>0</v>
      </c>
      <c r="L320" s="105" cm="1">
        <f t="array" ref="L320">WORKDAY(M320,-10)</f>
        <v>46133</v>
      </c>
      <c r="M320" s="85">
        <v>46147</v>
      </c>
      <c r="N320" s="86" cm="1">
        <f t="array" ref="N320">WORKDAY(M320,10)</f>
        <v>46161</v>
      </c>
      <c r="O320" s="87">
        <v>0</v>
      </c>
      <c r="P320" s="88">
        <v>0</v>
      </c>
      <c r="Q320" s="89">
        <v>46136</v>
      </c>
      <c r="R320" s="96">
        <v>46164</v>
      </c>
      <c r="S320" s="86" cm="1">
        <f t="array" ref="S320">WORKDAY(R320,10)</f>
        <v>46178</v>
      </c>
      <c r="T320" s="87">
        <v>0</v>
      </c>
      <c r="U320" s="91" t="s">
        <v>105</v>
      </c>
      <c r="V320" s="92">
        <v>0</v>
      </c>
      <c r="W320" s="93" cm="1">
        <f t="array" ref="W320">WORKDAY(X320,-20)</f>
        <v>46247</v>
      </c>
      <c r="X320" s="90">
        <v>46275</v>
      </c>
      <c r="Y320" s="88">
        <v>0</v>
      </c>
      <c r="Z320" s="93">
        <v>46280</v>
      </c>
      <c r="AA320" s="90">
        <v>46351</v>
      </c>
      <c r="AB320" s="88">
        <v>0</v>
      </c>
      <c r="AC320" s="79" t="s">
        <v>49</v>
      </c>
      <c r="AD320" s="79" t="s">
        <v>49</v>
      </c>
      <c r="AE320" s="90"/>
      <c r="AF320" s="88">
        <v>0</v>
      </c>
      <c r="AG320" s="93" cm="1">
        <f t="array" ref="AG320">WORKDAY(AA320,2)</f>
        <v>46353</v>
      </c>
      <c r="AH320" s="90" cm="1">
        <f t="array" ref="AH320">WORKDAY(AG320,1)</f>
        <v>46356</v>
      </c>
      <c r="AI320" s="86" cm="1">
        <f t="array" ref="AI320">WORKDAY(AH320,1)</f>
        <v>46357</v>
      </c>
      <c r="AJ320" s="145"/>
      <c r="AK320" s="56"/>
    </row>
    <row r="321" spans="1:37" ht="25.5" customHeight="1">
      <c r="A321" s="140" cm="1">
        <f t="array" ref="A321">A320+1</f>
        <v>306</v>
      </c>
      <c r="B321" s="79" t="s">
        <v>645</v>
      </c>
      <c r="C321" s="95">
        <v>3</v>
      </c>
      <c r="D321" s="79" t="s">
        <v>116</v>
      </c>
      <c r="E321" s="79" t="s">
        <v>646</v>
      </c>
      <c r="F321" s="79"/>
      <c r="G321" s="80" t="s">
        <v>113</v>
      </c>
      <c r="H321" s="81">
        <v>42091</v>
      </c>
      <c r="I321" s="79" t="s">
        <v>647</v>
      </c>
      <c r="J321" s="98"/>
      <c r="K321" s="106" t="s">
        <v>104</v>
      </c>
      <c r="L321" s="84">
        <v>46142</v>
      </c>
      <c r="M321" s="85">
        <v>46171</v>
      </c>
      <c r="N321" s="86" cm="1">
        <f t="array" ref="N321">WORKDAY(M321,10)</f>
        <v>46185</v>
      </c>
      <c r="O321" s="87">
        <v>0</v>
      </c>
      <c r="P321" s="88">
        <v>0</v>
      </c>
      <c r="Q321" s="89">
        <v>46167</v>
      </c>
      <c r="R321" s="96">
        <v>46195</v>
      </c>
      <c r="S321" s="86" cm="1">
        <f t="array" ref="S321">WORKDAY(R321,10)</f>
        <v>46209</v>
      </c>
      <c r="T321" s="87">
        <v>0</v>
      </c>
      <c r="U321" s="91" t="s">
        <v>105</v>
      </c>
      <c r="V321" s="92">
        <v>0</v>
      </c>
      <c r="W321" s="93" cm="1">
        <f t="array" ref="W321">WORKDAY(X321,-20)</f>
        <v>46259</v>
      </c>
      <c r="X321" s="90">
        <v>46287</v>
      </c>
      <c r="Y321" s="88">
        <v>0</v>
      </c>
      <c r="Z321" s="93">
        <v>46310</v>
      </c>
      <c r="AA321" s="90">
        <v>46352</v>
      </c>
      <c r="AB321" s="88">
        <v>0</v>
      </c>
      <c r="AC321" s="79" t="s">
        <v>49</v>
      </c>
      <c r="AD321" s="79" t="s">
        <v>49</v>
      </c>
      <c r="AE321" s="90"/>
      <c r="AF321" s="88">
        <v>0</v>
      </c>
      <c r="AG321" s="93" cm="1">
        <f t="array" ref="AG321">WORKDAY(AA321,2)</f>
        <v>46356</v>
      </c>
      <c r="AH321" s="90" cm="1">
        <f t="array" ref="AH321">WORKDAY(AG321,1)</f>
        <v>46357</v>
      </c>
      <c r="AI321" s="86" cm="1">
        <f t="array" ref="AI321">WORKDAY(AH321,1)</f>
        <v>46358</v>
      </c>
      <c r="AJ321" s="145"/>
      <c r="AK321" s="56"/>
    </row>
    <row r="322" spans="1:37" ht="25.5" customHeight="1">
      <c r="A322" s="140" cm="1">
        <f t="array" ref="A322">A321+1</f>
        <v>307</v>
      </c>
      <c r="B322" s="79" t="s">
        <v>648</v>
      </c>
      <c r="C322" s="95">
        <v>3</v>
      </c>
      <c r="D322" s="79" t="s">
        <v>116</v>
      </c>
      <c r="E322" s="79" t="s">
        <v>649</v>
      </c>
      <c r="F322" s="79"/>
      <c r="G322" s="80" t="s">
        <v>113</v>
      </c>
      <c r="H322" s="81">
        <v>42091</v>
      </c>
      <c r="I322" s="79" t="s">
        <v>650</v>
      </c>
      <c r="J322" s="98"/>
      <c r="K322" s="106" t="s">
        <v>104</v>
      </c>
      <c r="L322" s="84">
        <v>46142</v>
      </c>
      <c r="M322" s="85">
        <v>46171</v>
      </c>
      <c r="N322" s="86" cm="1">
        <f t="array" ref="N322">WORKDAY(M322,10)</f>
        <v>46185</v>
      </c>
      <c r="O322" s="87">
        <v>0</v>
      </c>
      <c r="P322" s="88">
        <v>0</v>
      </c>
      <c r="Q322" s="89">
        <v>46167</v>
      </c>
      <c r="R322" s="96">
        <v>46195</v>
      </c>
      <c r="S322" s="86" cm="1">
        <f t="array" ref="S322">WORKDAY(R322,10)</f>
        <v>46209</v>
      </c>
      <c r="T322" s="87">
        <v>0</v>
      </c>
      <c r="U322" s="91" t="s">
        <v>105</v>
      </c>
      <c r="V322" s="92">
        <v>0</v>
      </c>
      <c r="W322" s="93" cm="1">
        <f t="array" ref="W322">WORKDAY(X322,-20)</f>
        <v>46260</v>
      </c>
      <c r="X322" s="90">
        <v>46288</v>
      </c>
      <c r="Y322" s="88">
        <v>0</v>
      </c>
      <c r="Z322" s="93">
        <v>46310</v>
      </c>
      <c r="AA322" s="90">
        <v>46352</v>
      </c>
      <c r="AB322" s="88">
        <v>0</v>
      </c>
      <c r="AC322" s="79" t="s">
        <v>49</v>
      </c>
      <c r="AD322" s="79" t="s">
        <v>49</v>
      </c>
      <c r="AE322" s="90"/>
      <c r="AF322" s="88">
        <v>0</v>
      </c>
      <c r="AG322" s="93" cm="1">
        <f t="array" ref="AG322">WORKDAY(AA322,2)</f>
        <v>46356</v>
      </c>
      <c r="AH322" s="90" cm="1">
        <f t="array" ref="AH322">WORKDAY(AG322,1)</f>
        <v>46357</v>
      </c>
      <c r="AI322" s="86" cm="1">
        <f t="array" ref="AI322">WORKDAY(AH322,1)</f>
        <v>46358</v>
      </c>
      <c r="AJ322" s="145"/>
      <c r="AK322" s="56"/>
    </row>
    <row r="323" spans="1:37" ht="25.5" customHeight="1">
      <c r="A323" s="140" cm="1">
        <f t="array" ref="A323">A322+1</f>
        <v>308</v>
      </c>
      <c r="B323" s="79" t="s">
        <v>1408</v>
      </c>
      <c r="C323" s="104">
        <v>2</v>
      </c>
      <c r="D323" s="79" t="s">
        <v>1402</v>
      </c>
      <c r="E323" s="79" t="s">
        <v>1409</v>
      </c>
      <c r="F323" s="79" t="s">
        <v>78</v>
      </c>
      <c r="G323" s="80" t="s">
        <v>1390</v>
      </c>
      <c r="H323" s="81">
        <v>93940</v>
      </c>
      <c r="I323" s="109"/>
      <c r="J323" s="110">
        <v>129</v>
      </c>
      <c r="K323" s="100">
        <v>0</v>
      </c>
      <c r="L323" s="105" cm="1">
        <f t="array" ref="L323">WORKDAY(M323,-10)</f>
        <v>46133</v>
      </c>
      <c r="M323" s="85">
        <v>46147</v>
      </c>
      <c r="N323" s="86" cm="1">
        <f t="array" ref="N323">WORKDAY(M323,10)</f>
        <v>46161</v>
      </c>
      <c r="O323" s="87">
        <v>0</v>
      </c>
      <c r="P323" s="88">
        <v>0</v>
      </c>
      <c r="Q323" s="89">
        <v>46136</v>
      </c>
      <c r="R323" s="96">
        <v>46164</v>
      </c>
      <c r="S323" s="86" cm="1">
        <f t="array" ref="S323">WORKDAY(R323,10)</f>
        <v>46178</v>
      </c>
      <c r="T323" s="87">
        <v>0</v>
      </c>
      <c r="U323" s="91" t="s">
        <v>105</v>
      </c>
      <c r="V323" s="92">
        <v>0</v>
      </c>
      <c r="W323" s="93" cm="1">
        <f t="array" ref="W323">WORKDAY(X323,-20)</f>
        <v>46248</v>
      </c>
      <c r="X323" s="90">
        <v>46276</v>
      </c>
      <c r="Y323" s="88">
        <v>0</v>
      </c>
      <c r="Z323" s="93">
        <v>46281</v>
      </c>
      <c r="AA323" s="90">
        <v>46352</v>
      </c>
      <c r="AB323" s="88">
        <v>0</v>
      </c>
      <c r="AC323" s="79" t="s">
        <v>49</v>
      </c>
      <c r="AD323" s="79" t="s">
        <v>49</v>
      </c>
      <c r="AE323" s="90"/>
      <c r="AF323" s="88">
        <v>0</v>
      </c>
      <c r="AG323" s="93" cm="1">
        <f t="array" ref="AG323">WORKDAY(AA323,2)</f>
        <v>46356</v>
      </c>
      <c r="AH323" s="90" cm="1">
        <f t="array" ref="AH323">WORKDAY(AG323,1)</f>
        <v>46357</v>
      </c>
      <c r="AI323" s="86" cm="1">
        <f t="array" ref="AI323">WORKDAY(AH323,1)</f>
        <v>46358</v>
      </c>
      <c r="AJ323" s="145"/>
      <c r="AK323" s="56"/>
    </row>
    <row r="324" spans="1:37" ht="25.5" customHeight="1">
      <c r="A324" s="140" cm="1">
        <f t="array" ref="A324">A323+1</f>
        <v>309</v>
      </c>
      <c r="B324" s="79" t="s">
        <v>651</v>
      </c>
      <c r="C324" s="95">
        <v>3</v>
      </c>
      <c r="D324" s="79" t="s">
        <v>652</v>
      </c>
      <c r="E324" s="79" t="s">
        <v>653</v>
      </c>
      <c r="F324" s="79"/>
      <c r="G324" s="80" t="s">
        <v>654</v>
      </c>
      <c r="H324" s="81">
        <v>66798</v>
      </c>
      <c r="I324" s="79" t="s">
        <v>655</v>
      </c>
      <c r="J324" s="98"/>
      <c r="K324" s="100">
        <v>0</v>
      </c>
      <c r="L324" s="105" cm="1">
        <f t="array" ref="L324">WORKDAY(M324,-20)</f>
        <v>46171</v>
      </c>
      <c r="M324" s="85">
        <v>46199</v>
      </c>
      <c r="N324" s="86" cm="1">
        <f t="array" ref="N324">WORKDAY(M324,10)</f>
        <v>46213</v>
      </c>
      <c r="O324" s="87">
        <v>0</v>
      </c>
      <c r="P324" s="88">
        <v>0</v>
      </c>
      <c r="Q324" s="89">
        <v>46167</v>
      </c>
      <c r="R324" s="96">
        <v>46195</v>
      </c>
      <c r="S324" s="86" cm="1">
        <f t="array" ref="S324">WORKDAY(R324,10)</f>
        <v>46209</v>
      </c>
      <c r="T324" s="87">
        <v>0</v>
      </c>
      <c r="U324" s="91" t="s">
        <v>105</v>
      </c>
      <c r="V324" s="92">
        <v>0</v>
      </c>
      <c r="W324" s="93" cm="1">
        <f t="array" ref="W324">WORKDAY(X324,-20)</f>
        <v>46260</v>
      </c>
      <c r="X324" s="90">
        <v>46288</v>
      </c>
      <c r="Y324" s="88">
        <v>0</v>
      </c>
      <c r="Z324" s="93">
        <v>46311</v>
      </c>
      <c r="AA324" s="90">
        <v>46353</v>
      </c>
      <c r="AB324" s="88">
        <v>0</v>
      </c>
      <c r="AC324" s="79" t="s">
        <v>49</v>
      </c>
      <c r="AD324" s="79" t="s">
        <v>49</v>
      </c>
      <c r="AE324" s="90"/>
      <c r="AF324" s="88">
        <v>0</v>
      </c>
      <c r="AG324" s="93" cm="1">
        <f t="array" ref="AG324">WORKDAY(AA324,2)</f>
        <v>46357</v>
      </c>
      <c r="AH324" s="90" cm="1">
        <f t="array" ref="AH324">WORKDAY(AG324,1)</f>
        <v>46358</v>
      </c>
      <c r="AI324" s="86" cm="1">
        <f t="array" ref="AI324">WORKDAY(AH324,1)</f>
        <v>46359</v>
      </c>
      <c r="AJ324" s="145"/>
      <c r="AK324" s="56"/>
    </row>
    <row r="325" spans="1:37" ht="25.5" customHeight="1">
      <c r="A325" s="140" cm="1">
        <f t="array" ref="A325">A324+1</f>
        <v>310</v>
      </c>
      <c r="B325" s="79" t="s">
        <v>656</v>
      </c>
      <c r="C325" s="95">
        <v>3</v>
      </c>
      <c r="D325" s="79" t="s">
        <v>657</v>
      </c>
      <c r="E325" s="79" t="s">
        <v>658</v>
      </c>
      <c r="F325" s="79"/>
      <c r="G325" s="80" t="s">
        <v>654</v>
      </c>
      <c r="H325" s="81">
        <v>66798</v>
      </c>
      <c r="I325" s="79" t="s">
        <v>659</v>
      </c>
      <c r="J325" s="98"/>
      <c r="K325" s="100">
        <v>0</v>
      </c>
      <c r="L325" s="105" cm="1">
        <f t="array" ref="L325">WORKDAY(M325,-20)</f>
        <v>46171</v>
      </c>
      <c r="M325" s="85">
        <v>46199</v>
      </c>
      <c r="N325" s="86" cm="1">
        <f t="array" ref="N325">WORKDAY(M325,10)</f>
        <v>46213</v>
      </c>
      <c r="O325" s="87">
        <v>0</v>
      </c>
      <c r="P325" s="88">
        <v>0</v>
      </c>
      <c r="Q325" s="89">
        <v>46167</v>
      </c>
      <c r="R325" s="96">
        <v>46195</v>
      </c>
      <c r="S325" s="86" cm="1">
        <f t="array" ref="S325">WORKDAY(R325,10)</f>
        <v>46209</v>
      </c>
      <c r="T325" s="87">
        <v>0</v>
      </c>
      <c r="U325" s="91" t="s">
        <v>105</v>
      </c>
      <c r="V325" s="92">
        <v>0</v>
      </c>
      <c r="W325" s="93" cm="1">
        <f t="array" ref="W325">WORKDAY(X325,-20)</f>
        <v>46261</v>
      </c>
      <c r="X325" s="90">
        <v>46289</v>
      </c>
      <c r="Y325" s="88">
        <v>0</v>
      </c>
      <c r="Z325" s="93">
        <v>46311</v>
      </c>
      <c r="AA325" s="90">
        <v>46353</v>
      </c>
      <c r="AB325" s="88">
        <v>0</v>
      </c>
      <c r="AC325" s="79" t="s">
        <v>49</v>
      </c>
      <c r="AD325" s="79" t="s">
        <v>49</v>
      </c>
      <c r="AE325" s="90"/>
      <c r="AF325" s="88">
        <v>0</v>
      </c>
      <c r="AG325" s="93" cm="1">
        <f t="array" ref="AG325">WORKDAY(AA325,2)</f>
        <v>46357</v>
      </c>
      <c r="AH325" s="90" cm="1">
        <f t="array" ref="AH325">WORKDAY(AG325,1)</f>
        <v>46358</v>
      </c>
      <c r="AI325" s="86" cm="1">
        <f t="array" ref="AI325">WORKDAY(AH325,1)</f>
        <v>46359</v>
      </c>
      <c r="AJ325" s="145"/>
      <c r="AK325" s="56"/>
    </row>
    <row r="326" spans="1:37" ht="25.5" customHeight="1">
      <c r="A326" s="140" cm="1">
        <f t="array" ref="A326">A325+1</f>
        <v>311</v>
      </c>
      <c r="B326" s="79" t="s">
        <v>1410</v>
      </c>
      <c r="C326" s="104">
        <v>2</v>
      </c>
      <c r="D326" s="79" t="s">
        <v>1402</v>
      </c>
      <c r="E326" s="79" t="s">
        <v>1411</v>
      </c>
      <c r="F326" s="79" t="s">
        <v>78</v>
      </c>
      <c r="G326" s="80" t="s">
        <v>1390</v>
      </c>
      <c r="H326" s="81">
        <v>93940</v>
      </c>
      <c r="I326" s="109"/>
      <c r="J326" s="110">
        <v>130</v>
      </c>
      <c r="K326" s="100">
        <v>0</v>
      </c>
      <c r="L326" s="105" cm="1">
        <f t="array" ref="L326">WORKDAY(M326,-10)</f>
        <v>46133</v>
      </c>
      <c r="M326" s="85">
        <v>46147</v>
      </c>
      <c r="N326" s="86" cm="1">
        <f t="array" ref="N326">WORKDAY(M326,10)</f>
        <v>46161</v>
      </c>
      <c r="O326" s="87">
        <v>0</v>
      </c>
      <c r="P326" s="88">
        <v>0</v>
      </c>
      <c r="Q326" s="89">
        <v>46136</v>
      </c>
      <c r="R326" s="96">
        <v>46164</v>
      </c>
      <c r="S326" s="86" cm="1">
        <f t="array" ref="S326">WORKDAY(R326,10)</f>
        <v>46178</v>
      </c>
      <c r="T326" s="87">
        <v>0</v>
      </c>
      <c r="U326" s="91" t="s">
        <v>105</v>
      </c>
      <c r="V326" s="92">
        <v>0</v>
      </c>
      <c r="W326" s="93" cm="1">
        <f t="array" ref="W326">WORKDAY(X326,-20)</f>
        <v>46248</v>
      </c>
      <c r="X326" s="90">
        <v>46276</v>
      </c>
      <c r="Y326" s="88">
        <v>0</v>
      </c>
      <c r="Z326" s="93">
        <v>46281</v>
      </c>
      <c r="AA326" s="90">
        <v>46353</v>
      </c>
      <c r="AB326" s="88">
        <v>0</v>
      </c>
      <c r="AC326" s="79" t="s">
        <v>49</v>
      </c>
      <c r="AD326" s="79" t="s">
        <v>49</v>
      </c>
      <c r="AE326" s="90"/>
      <c r="AF326" s="88">
        <v>0</v>
      </c>
      <c r="AG326" s="93" cm="1">
        <f t="array" ref="AG326">WORKDAY(AA326,2)</f>
        <v>46357</v>
      </c>
      <c r="AH326" s="90" cm="1">
        <f t="array" ref="AH326">WORKDAY(AG326,1)</f>
        <v>46358</v>
      </c>
      <c r="AI326" s="86" cm="1">
        <f t="array" ref="AI326">WORKDAY(AH326,1)</f>
        <v>46359</v>
      </c>
      <c r="AJ326" s="145"/>
      <c r="AK326" s="56"/>
    </row>
    <row r="327" spans="1:37" ht="25.5" customHeight="1">
      <c r="A327" s="140" cm="1">
        <f t="array" ref="A327">A326+1</f>
        <v>312</v>
      </c>
      <c r="B327" s="79" t="s">
        <v>1412</v>
      </c>
      <c r="C327" s="104">
        <v>2</v>
      </c>
      <c r="D327" s="79" t="s">
        <v>1402</v>
      </c>
      <c r="E327" s="79" t="s">
        <v>1413</v>
      </c>
      <c r="F327" s="79" t="s">
        <v>78</v>
      </c>
      <c r="G327" s="80" t="s">
        <v>1390</v>
      </c>
      <c r="H327" s="81">
        <v>93940</v>
      </c>
      <c r="I327" s="109"/>
      <c r="J327" s="110">
        <v>131</v>
      </c>
      <c r="K327" s="100">
        <v>0</v>
      </c>
      <c r="L327" s="105" cm="1">
        <f t="array" ref="L327">WORKDAY(M327,-10)</f>
        <v>46133</v>
      </c>
      <c r="M327" s="85">
        <v>46147</v>
      </c>
      <c r="N327" s="86" cm="1">
        <f t="array" ref="N327">WORKDAY(M327,10)</f>
        <v>46161</v>
      </c>
      <c r="O327" s="87">
        <v>0</v>
      </c>
      <c r="P327" s="88">
        <v>0</v>
      </c>
      <c r="Q327" s="89">
        <v>46136</v>
      </c>
      <c r="R327" s="96">
        <v>46164</v>
      </c>
      <c r="S327" s="86" cm="1">
        <f t="array" ref="S327">WORKDAY(R327,10)</f>
        <v>46178</v>
      </c>
      <c r="T327" s="87">
        <v>0</v>
      </c>
      <c r="U327" s="91" t="s">
        <v>105</v>
      </c>
      <c r="V327" s="92">
        <v>0</v>
      </c>
      <c r="W327" s="93" cm="1">
        <f t="array" ref="W327">WORKDAY(X327,-20)</f>
        <v>46252</v>
      </c>
      <c r="X327" s="90">
        <v>46280</v>
      </c>
      <c r="Y327" s="88">
        <v>0</v>
      </c>
      <c r="Z327" s="93">
        <v>46283</v>
      </c>
      <c r="AA327" s="90">
        <v>46353</v>
      </c>
      <c r="AB327" s="88">
        <v>0</v>
      </c>
      <c r="AC327" s="79" t="s">
        <v>49</v>
      </c>
      <c r="AD327" s="79" t="s">
        <v>49</v>
      </c>
      <c r="AE327" s="90"/>
      <c r="AF327" s="88">
        <v>0</v>
      </c>
      <c r="AG327" s="93" cm="1">
        <f t="array" ref="AG327">WORKDAY(AA327,2)</f>
        <v>46357</v>
      </c>
      <c r="AH327" s="90" cm="1">
        <f t="array" ref="AH327">WORKDAY(AG327,1)</f>
        <v>46358</v>
      </c>
      <c r="AI327" s="86" cm="1">
        <f t="array" ref="AI327">WORKDAY(AH327,1)</f>
        <v>46359</v>
      </c>
      <c r="AJ327" s="145"/>
      <c r="AK327" s="56"/>
    </row>
    <row r="328" spans="1:37" ht="25.5" customHeight="1">
      <c r="A328" s="140" cm="1">
        <f t="array" ref="A328">A327+1</f>
        <v>313</v>
      </c>
      <c r="B328" s="79" t="s">
        <v>660</v>
      </c>
      <c r="C328" s="95">
        <v>3</v>
      </c>
      <c r="D328" s="79" t="s">
        <v>657</v>
      </c>
      <c r="E328" s="79" t="s">
        <v>661</v>
      </c>
      <c r="F328" s="79"/>
      <c r="G328" s="80" t="s">
        <v>654</v>
      </c>
      <c r="H328" s="81">
        <v>66798</v>
      </c>
      <c r="I328" s="79" t="s">
        <v>662</v>
      </c>
      <c r="J328" s="98"/>
      <c r="K328" s="100">
        <v>0</v>
      </c>
      <c r="L328" s="105" cm="1">
        <f t="array" ref="L328">WORKDAY(M328,-20)</f>
        <v>46171</v>
      </c>
      <c r="M328" s="85">
        <v>46199</v>
      </c>
      <c r="N328" s="86" cm="1">
        <f t="array" ref="N328">WORKDAY(M328,10)</f>
        <v>46213</v>
      </c>
      <c r="O328" s="87">
        <v>0</v>
      </c>
      <c r="P328" s="88">
        <v>0</v>
      </c>
      <c r="Q328" s="89">
        <v>46167</v>
      </c>
      <c r="R328" s="96">
        <v>46195</v>
      </c>
      <c r="S328" s="86" cm="1">
        <f t="array" ref="S328">WORKDAY(R328,10)</f>
        <v>46209</v>
      </c>
      <c r="T328" s="87">
        <v>0</v>
      </c>
      <c r="U328" s="91" t="s">
        <v>105</v>
      </c>
      <c r="V328" s="92">
        <v>0</v>
      </c>
      <c r="W328" s="93" cm="1">
        <f t="array" ref="W328">WORKDAY(X328,-20)</f>
        <v>46261</v>
      </c>
      <c r="X328" s="90">
        <v>46289</v>
      </c>
      <c r="Y328" s="88">
        <v>0</v>
      </c>
      <c r="Z328" s="93">
        <v>46314</v>
      </c>
      <c r="AA328" s="90">
        <v>46356</v>
      </c>
      <c r="AB328" s="88">
        <v>0</v>
      </c>
      <c r="AC328" s="79" t="s">
        <v>49</v>
      </c>
      <c r="AD328" s="79" t="s">
        <v>49</v>
      </c>
      <c r="AE328" s="90"/>
      <c r="AF328" s="88">
        <v>0</v>
      </c>
      <c r="AG328" s="93" cm="1">
        <f t="array" ref="AG328">WORKDAY(AA328,2)</f>
        <v>46358</v>
      </c>
      <c r="AH328" s="90" cm="1">
        <f t="array" ref="AH328">WORKDAY(AG328,1)</f>
        <v>46359</v>
      </c>
      <c r="AI328" s="86" cm="1">
        <f t="array" ref="AI328">WORKDAY(AH328,1)</f>
        <v>46360</v>
      </c>
      <c r="AJ328" s="145"/>
      <c r="AK328" s="56"/>
    </row>
    <row r="329" spans="1:37" ht="25.5" customHeight="1">
      <c r="A329" s="140" cm="1">
        <f t="array" ref="A329">A328+1</f>
        <v>314</v>
      </c>
      <c r="B329" s="79" t="s">
        <v>663</v>
      </c>
      <c r="C329" s="95">
        <v>3</v>
      </c>
      <c r="D329" s="79" t="s">
        <v>657</v>
      </c>
      <c r="E329" s="79" t="s">
        <v>664</v>
      </c>
      <c r="F329" s="79"/>
      <c r="G329" s="80" t="s">
        <v>654</v>
      </c>
      <c r="H329" s="81">
        <v>66798</v>
      </c>
      <c r="I329" s="79" t="s">
        <v>665</v>
      </c>
      <c r="J329" s="98"/>
      <c r="K329" s="100">
        <v>0</v>
      </c>
      <c r="L329" s="105" cm="1">
        <f t="array" ref="L329">WORKDAY(M329,-20)</f>
        <v>46171</v>
      </c>
      <c r="M329" s="85">
        <v>46199</v>
      </c>
      <c r="N329" s="86" cm="1">
        <f t="array" ref="N329">WORKDAY(M329,10)</f>
        <v>46213</v>
      </c>
      <c r="O329" s="87">
        <v>0</v>
      </c>
      <c r="P329" s="88">
        <v>0</v>
      </c>
      <c r="Q329" s="89">
        <v>46167</v>
      </c>
      <c r="R329" s="96">
        <v>46195</v>
      </c>
      <c r="S329" s="86" cm="1">
        <f t="array" ref="S329">WORKDAY(R329,10)</f>
        <v>46209</v>
      </c>
      <c r="T329" s="87">
        <v>0</v>
      </c>
      <c r="U329" s="91" t="s">
        <v>105</v>
      </c>
      <c r="V329" s="92">
        <v>0</v>
      </c>
      <c r="W329" s="93" cm="1">
        <f t="array" ref="W329">WORKDAY(X329,-20)</f>
        <v>46261</v>
      </c>
      <c r="X329" s="90">
        <v>46289</v>
      </c>
      <c r="Y329" s="88">
        <v>0</v>
      </c>
      <c r="Z329" s="93">
        <v>46314</v>
      </c>
      <c r="AA329" s="90">
        <v>46356</v>
      </c>
      <c r="AB329" s="88">
        <v>0</v>
      </c>
      <c r="AC329" s="79" t="s">
        <v>49</v>
      </c>
      <c r="AD329" s="79" t="s">
        <v>49</v>
      </c>
      <c r="AE329" s="90"/>
      <c r="AF329" s="88">
        <v>0</v>
      </c>
      <c r="AG329" s="93" cm="1">
        <f t="array" ref="AG329">WORKDAY(AA329,2)</f>
        <v>46358</v>
      </c>
      <c r="AH329" s="90" cm="1">
        <f t="array" ref="AH329">WORKDAY(AG329,1)</f>
        <v>46359</v>
      </c>
      <c r="AI329" s="86" cm="1">
        <f t="array" ref="AI329">WORKDAY(AH329,1)</f>
        <v>46360</v>
      </c>
      <c r="AJ329" s="145"/>
      <c r="AK329" s="56"/>
    </row>
    <row r="330" spans="1:37" ht="25.5" customHeight="1">
      <c r="A330" s="140" cm="1">
        <f t="array" ref="A330">A329+1</f>
        <v>315</v>
      </c>
      <c r="B330" s="79" t="s">
        <v>1414</v>
      </c>
      <c r="C330" s="104">
        <v>2</v>
      </c>
      <c r="D330" s="79" t="s">
        <v>1415</v>
      </c>
      <c r="E330" s="79" t="s">
        <v>1416</v>
      </c>
      <c r="F330" s="79" t="s">
        <v>78</v>
      </c>
      <c r="G330" s="80" t="s">
        <v>1390</v>
      </c>
      <c r="H330" s="81">
        <v>93940</v>
      </c>
      <c r="I330" s="109"/>
      <c r="J330" s="110">
        <v>132</v>
      </c>
      <c r="K330" s="100">
        <v>0</v>
      </c>
      <c r="L330" s="105" cm="1">
        <f t="array" ref="L330">WORKDAY(M330,-10)</f>
        <v>46133</v>
      </c>
      <c r="M330" s="85">
        <v>46147</v>
      </c>
      <c r="N330" s="86" cm="1">
        <f t="array" ref="N330">WORKDAY(M330,10)</f>
        <v>46161</v>
      </c>
      <c r="O330" s="87">
        <v>0</v>
      </c>
      <c r="P330" s="88">
        <v>0</v>
      </c>
      <c r="Q330" s="89">
        <v>46136</v>
      </c>
      <c r="R330" s="96">
        <v>46164</v>
      </c>
      <c r="S330" s="86" cm="1">
        <f t="array" ref="S330">WORKDAY(R330,10)</f>
        <v>46178</v>
      </c>
      <c r="T330" s="87">
        <v>0</v>
      </c>
      <c r="U330" s="91" t="s">
        <v>105</v>
      </c>
      <c r="V330" s="92">
        <v>0</v>
      </c>
      <c r="W330" s="93" cm="1">
        <f t="array" ref="W330">WORKDAY(X330,-20)</f>
        <v>46252</v>
      </c>
      <c r="X330" s="90">
        <v>46280</v>
      </c>
      <c r="Y330" s="88">
        <v>0</v>
      </c>
      <c r="Z330" s="93">
        <v>46283</v>
      </c>
      <c r="AA330" s="90">
        <v>46356</v>
      </c>
      <c r="AB330" s="88">
        <v>0</v>
      </c>
      <c r="AC330" s="79" t="s">
        <v>49</v>
      </c>
      <c r="AD330" s="79" t="s">
        <v>49</v>
      </c>
      <c r="AE330" s="90"/>
      <c r="AF330" s="88">
        <v>0</v>
      </c>
      <c r="AG330" s="93" cm="1">
        <f t="array" ref="AG330">WORKDAY(AA330,2)</f>
        <v>46358</v>
      </c>
      <c r="AH330" s="90" cm="1">
        <f t="array" ref="AH330">WORKDAY(AG330,1)</f>
        <v>46359</v>
      </c>
      <c r="AI330" s="86" cm="1">
        <f t="array" ref="AI330">WORKDAY(AH330,1)</f>
        <v>46360</v>
      </c>
      <c r="AJ330" s="145"/>
      <c r="AK330" s="56"/>
    </row>
    <row r="331" spans="1:37" ht="25.5" customHeight="1">
      <c r="A331" s="140" cm="1">
        <f t="array" ref="A331">A330+1</f>
        <v>316</v>
      </c>
      <c r="B331" s="79" t="s">
        <v>1417</v>
      </c>
      <c r="C331" s="104">
        <v>2</v>
      </c>
      <c r="D331" s="79" t="s">
        <v>1418</v>
      </c>
      <c r="E331" s="79" t="s">
        <v>1419</v>
      </c>
      <c r="F331" s="79" t="s">
        <v>78</v>
      </c>
      <c r="G331" s="80" t="s">
        <v>1390</v>
      </c>
      <c r="H331" s="81">
        <v>72252</v>
      </c>
      <c r="I331" s="109"/>
      <c r="J331" s="110">
        <v>133</v>
      </c>
      <c r="K331" s="100">
        <v>0</v>
      </c>
      <c r="L331" s="105" cm="1">
        <f t="array" ref="L331">WORKDAY(M331,-10)</f>
        <v>46133</v>
      </c>
      <c r="M331" s="85">
        <v>46147</v>
      </c>
      <c r="N331" s="86" cm="1">
        <f t="array" ref="N331">WORKDAY(M331,10)</f>
        <v>46161</v>
      </c>
      <c r="O331" s="87">
        <v>0</v>
      </c>
      <c r="P331" s="88">
        <v>0</v>
      </c>
      <c r="Q331" s="89">
        <v>46136</v>
      </c>
      <c r="R331" s="96">
        <v>46164</v>
      </c>
      <c r="S331" s="86" cm="1">
        <f t="array" ref="S331">WORKDAY(R331,10)</f>
        <v>46178</v>
      </c>
      <c r="T331" s="87">
        <v>0</v>
      </c>
      <c r="U331" s="91" t="s">
        <v>105</v>
      </c>
      <c r="V331" s="92">
        <v>0</v>
      </c>
      <c r="W331" s="93" cm="1">
        <f t="array" ref="W331">WORKDAY(X331,-20)</f>
        <v>46253</v>
      </c>
      <c r="X331" s="90">
        <v>46281</v>
      </c>
      <c r="Y331" s="88">
        <v>0</v>
      </c>
      <c r="Z331" s="93">
        <v>46286</v>
      </c>
      <c r="AA331" s="90">
        <v>46356</v>
      </c>
      <c r="AB331" s="88">
        <v>0</v>
      </c>
      <c r="AC331" s="79" t="s">
        <v>49</v>
      </c>
      <c r="AD331" s="79" t="s">
        <v>49</v>
      </c>
      <c r="AE331" s="90"/>
      <c r="AF331" s="88">
        <v>0</v>
      </c>
      <c r="AG331" s="93" cm="1">
        <f t="array" ref="AG331">WORKDAY(AA331,2)</f>
        <v>46358</v>
      </c>
      <c r="AH331" s="90" cm="1">
        <f t="array" ref="AH331">WORKDAY(AG331,1)</f>
        <v>46359</v>
      </c>
      <c r="AI331" s="86" cm="1">
        <f t="array" ref="AI331">WORKDAY(AH331,1)</f>
        <v>46360</v>
      </c>
      <c r="AJ331" s="145"/>
      <c r="AK331" s="56"/>
    </row>
    <row r="332" spans="1:37" ht="25.5" customHeight="1">
      <c r="A332" s="140" cm="1">
        <f t="array" ref="A332">A331+1</f>
        <v>317</v>
      </c>
      <c r="B332" s="79" t="s">
        <v>666</v>
      </c>
      <c r="C332" s="95">
        <v>3</v>
      </c>
      <c r="D332" s="79" t="s">
        <v>657</v>
      </c>
      <c r="E332" s="79" t="s">
        <v>667</v>
      </c>
      <c r="F332" s="79"/>
      <c r="G332" s="80" t="s">
        <v>654</v>
      </c>
      <c r="H332" s="81">
        <v>66798</v>
      </c>
      <c r="I332" s="79" t="s">
        <v>668</v>
      </c>
      <c r="J332" s="98"/>
      <c r="K332" s="100">
        <v>0</v>
      </c>
      <c r="L332" s="105" cm="1">
        <f t="array" ref="L332">WORKDAY(M332,-20)</f>
        <v>46171</v>
      </c>
      <c r="M332" s="85">
        <v>46199</v>
      </c>
      <c r="N332" s="86" cm="1">
        <f t="array" ref="N332">WORKDAY(M332,10)</f>
        <v>46213</v>
      </c>
      <c r="O332" s="87">
        <v>0</v>
      </c>
      <c r="P332" s="88">
        <v>0</v>
      </c>
      <c r="Q332" s="89">
        <v>46167</v>
      </c>
      <c r="R332" s="96">
        <v>46195</v>
      </c>
      <c r="S332" s="86" cm="1">
        <f t="array" ref="S332">WORKDAY(R332,10)</f>
        <v>46209</v>
      </c>
      <c r="T332" s="87">
        <v>0</v>
      </c>
      <c r="U332" s="91" t="s">
        <v>105</v>
      </c>
      <c r="V332" s="92">
        <v>0</v>
      </c>
      <c r="W332" s="93" cm="1">
        <f t="array" ref="W332">WORKDAY(X332,-20)</f>
        <v>46265</v>
      </c>
      <c r="X332" s="90">
        <v>46293</v>
      </c>
      <c r="Y332" s="88">
        <v>0</v>
      </c>
      <c r="Z332" s="93">
        <v>46315</v>
      </c>
      <c r="AA332" s="90">
        <v>46357</v>
      </c>
      <c r="AB332" s="88">
        <v>0</v>
      </c>
      <c r="AC332" s="79" t="s">
        <v>49</v>
      </c>
      <c r="AD332" s="79" t="s">
        <v>49</v>
      </c>
      <c r="AE332" s="90"/>
      <c r="AF332" s="88">
        <v>0</v>
      </c>
      <c r="AG332" s="93" cm="1">
        <f t="array" ref="AG332">WORKDAY(AA332,2)</f>
        <v>46359</v>
      </c>
      <c r="AH332" s="90" cm="1">
        <f t="array" ref="AH332">WORKDAY(AG332,1)</f>
        <v>46360</v>
      </c>
      <c r="AI332" s="86" cm="1">
        <f t="array" ref="AI332">WORKDAY(AH332,1)</f>
        <v>46363</v>
      </c>
      <c r="AJ332" s="145"/>
      <c r="AK332" s="56"/>
    </row>
    <row r="333" spans="1:37" ht="25.5" customHeight="1">
      <c r="A333" s="140" cm="1">
        <f t="array" ref="A333">A332+1</f>
        <v>318</v>
      </c>
      <c r="B333" s="79" t="s">
        <v>669</v>
      </c>
      <c r="C333" s="95">
        <v>3</v>
      </c>
      <c r="D333" s="79" t="s">
        <v>657</v>
      </c>
      <c r="E333" s="79" t="s">
        <v>670</v>
      </c>
      <c r="F333" s="79"/>
      <c r="G333" s="80" t="s">
        <v>654</v>
      </c>
      <c r="H333" s="81">
        <v>66798</v>
      </c>
      <c r="I333" s="79" t="s">
        <v>671</v>
      </c>
      <c r="J333" s="98"/>
      <c r="K333" s="100">
        <v>0</v>
      </c>
      <c r="L333" s="105" cm="1">
        <f t="array" ref="L333">WORKDAY(M333,-20)</f>
        <v>46171</v>
      </c>
      <c r="M333" s="85">
        <v>46199</v>
      </c>
      <c r="N333" s="86" cm="1">
        <f t="array" ref="N333">WORKDAY(M333,10)</f>
        <v>46213</v>
      </c>
      <c r="O333" s="87">
        <v>0</v>
      </c>
      <c r="P333" s="88">
        <v>0</v>
      </c>
      <c r="Q333" s="89">
        <v>46167</v>
      </c>
      <c r="R333" s="96">
        <v>46195</v>
      </c>
      <c r="S333" s="86" cm="1">
        <f t="array" ref="S333">WORKDAY(R333,10)</f>
        <v>46209</v>
      </c>
      <c r="T333" s="87">
        <v>0</v>
      </c>
      <c r="U333" s="91" t="s">
        <v>105</v>
      </c>
      <c r="V333" s="92">
        <v>0</v>
      </c>
      <c r="W333" s="93" cm="1">
        <f t="array" ref="W333">WORKDAY(X333,-20)</f>
        <v>46265</v>
      </c>
      <c r="X333" s="90">
        <v>46293</v>
      </c>
      <c r="Y333" s="88">
        <v>0</v>
      </c>
      <c r="Z333" s="93">
        <v>46315</v>
      </c>
      <c r="AA333" s="90">
        <v>46357</v>
      </c>
      <c r="AB333" s="88">
        <v>0</v>
      </c>
      <c r="AC333" s="79" t="s">
        <v>49</v>
      </c>
      <c r="AD333" s="79" t="s">
        <v>49</v>
      </c>
      <c r="AE333" s="90"/>
      <c r="AF333" s="88">
        <v>0</v>
      </c>
      <c r="AG333" s="93" cm="1">
        <f t="array" ref="AG333">WORKDAY(AA333,2)</f>
        <v>46359</v>
      </c>
      <c r="AH333" s="90" cm="1">
        <f t="array" ref="AH333">WORKDAY(AG333,1)</f>
        <v>46360</v>
      </c>
      <c r="AI333" s="86" cm="1">
        <f t="array" ref="AI333">WORKDAY(AH333,1)</f>
        <v>46363</v>
      </c>
      <c r="AJ333" s="145"/>
      <c r="AK333" s="56"/>
    </row>
    <row r="334" spans="1:37" ht="25.5" customHeight="1">
      <c r="A334" s="140" cm="1">
        <f t="array" ref="A334">A333+1</f>
        <v>319</v>
      </c>
      <c r="B334" s="79" t="s">
        <v>675</v>
      </c>
      <c r="C334" s="95">
        <v>3</v>
      </c>
      <c r="D334" s="79" t="s">
        <v>676</v>
      </c>
      <c r="E334" s="79" t="s">
        <v>677</v>
      </c>
      <c r="F334" s="79"/>
      <c r="G334" s="80" t="s">
        <v>654</v>
      </c>
      <c r="H334" s="81">
        <v>66798</v>
      </c>
      <c r="I334" s="79" t="s">
        <v>678</v>
      </c>
      <c r="J334" s="98"/>
      <c r="K334" s="100">
        <v>0</v>
      </c>
      <c r="L334" s="105" cm="1">
        <f t="array" ref="L334">WORKDAY(M334,-20)</f>
        <v>46171</v>
      </c>
      <c r="M334" s="85">
        <v>46199</v>
      </c>
      <c r="N334" s="86" cm="1">
        <f t="array" ref="N334">WORKDAY(M334,10)</f>
        <v>46213</v>
      </c>
      <c r="O334" s="87">
        <v>0</v>
      </c>
      <c r="P334" s="88">
        <v>0</v>
      </c>
      <c r="Q334" s="89">
        <v>46167</v>
      </c>
      <c r="R334" s="96">
        <v>46195</v>
      </c>
      <c r="S334" s="86" cm="1">
        <f t="array" ref="S334">WORKDAY(R334,10)</f>
        <v>46209</v>
      </c>
      <c r="T334" s="87">
        <v>0</v>
      </c>
      <c r="U334" s="91" t="s">
        <v>105</v>
      </c>
      <c r="V334" s="92">
        <v>0</v>
      </c>
      <c r="W334" s="93" cm="1">
        <f t="array" ref="W334">WORKDAY(X334,-20)</f>
        <v>46266</v>
      </c>
      <c r="X334" s="90">
        <v>46294</v>
      </c>
      <c r="Y334" s="88">
        <v>0</v>
      </c>
      <c r="Z334" s="93">
        <v>46315</v>
      </c>
      <c r="AA334" s="90">
        <v>46357</v>
      </c>
      <c r="AB334" s="88">
        <v>0</v>
      </c>
      <c r="AC334" s="79" t="s">
        <v>49</v>
      </c>
      <c r="AD334" s="79" t="s">
        <v>49</v>
      </c>
      <c r="AE334" s="90"/>
      <c r="AF334" s="88">
        <v>0</v>
      </c>
      <c r="AG334" s="93" cm="1">
        <f t="array" ref="AG334">WORKDAY(AA334,2)</f>
        <v>46359</v>
      </c>
      <c r="AH334" s="90" cm="1">
        <f t="array" ref="AH334">WORKDAY(AG334,1)</f>
        <v>46360</v>
      </c>
      <c r="AI334" s="86" cm="1">
        <f t="array" ref="AI334">WORKDAY(AH334,1)</f>
        <v>46363</v>
      </c>
      <c r="AJ334" s="145"/>
      <c r="AK334" s="56"/>
    </row>
    <row r="335" spans="1:37" ht="25.5" customHeight="1">
      <c r="A335" s="140" cm="1">
        <f t="array" ref="A335">A334+1</f>
        <v>320</v>
      </c>
      <c r="B335" s="79" t="s">
        <v>679</v>
      </c>
      <c r="C335" s="95">
        <v>3</v>
      </c>
      <c r="D335" s="79" t="s">
        <v>680</v>
      </c>
      <c r="E335" s="79" t="s">
        <v>681</v>
      </c>
      <c r="F335" s="79"/>
      <c r="G335" s="80" t="s">
        <v>654</v>
      </c>
      <c r="H335" s="81">
        <v>66798</v>
      </c>
      <c r="I335" s="79" t="s">
        <v>682</v>
      </c>
      <c r="J335" s="98"/>
      <c r="K335" s="100">
        <v>0</v>
      </c>
      <c r="L335" s="105" cm="1">
        <f t="array" ref="L335">WORKDAY(M335,-20)</f>
        <v>46171</v>
      </c>
      <c r="M335" s="85">
        <v>46199</v>
      </c>
      <c r="N335" s="86" cm="1">
        <f t="array" ref="N335">WORKDAY(M335,10)</f>
        <v>46213</v>
      </c>
      <c r="O335" s="87">
        <v>0</v>
      </c>
      <c r="P335" s="88">
        <v>0</v>
      </c>
      <c r="Q335" s="89">
        <v>46167</v>
      </c>
      <c r="R335" s="96">
        <v>46195</v>
      </c>
      <c r="S335" s="86" cm="1">
        <f t="array" ref="S335">WORKDAY(R335,10)</f>
        <v>46209</v>
      </c>
      <c r="T335" s="87">
        <v>0</v>
      </c>
      <c r="U335" s="91" t="s">
        <v>105</v>
      </c>
      <c r="V335" s="92">
        <v>0</v>
      </c>
      <c r="W335" s="93" cm="1">
        <f t="array" ref="W335">WORKDAY(X335,-20)</f>
        <v>46266</v>
      </c>
      <c r="X335" s="90">
        <v>46294</v>
      </c>
      <c r="Y335" s="88">
        <v>0</v>
      </c>
      <c r="Z335" s="93">
        <v>46315</v>
      </c>
      <c r="AA335" s="90">
        <v>46357</v>
      </c>
      <c r="AB335" s="88">
        <v>0</v>
      </c>
      <c r="AC335" s="79" t="s">
        <v>49</v>
      </c>
      <c r="AD335" s="79" t="s">
        <v>49</v>
      </c>
      <c r="AE335" s="90"/>
      <c r="AF335" s="88">
        <v>0</v>
      </c>
      <c r="AG335" s="93" cm="1">
        <f t="array" ref="AG335">WORKDAY(AA335,2)</f>
        <v>46359</v>
      </c>
      <c r="AH335" s="90" cm="1">
        <f t="array" ref="AH335">WORKDAY(AG335,1)</f>
        <v>46360</v>
      </c>
      <c r="AI335" s="86" cm="1">
        <f t="array" ref="AI335">WORKDAY(AH335,1)</f>
        <v>46363</v>
      </c>
      <c r="AJ335" s="145"/>
      <c r="AK335" s="56"/>
    </row>
    <row r="336" spans="1:37" ht="25.5" customHeight="1">
      <c r="A336" s="140" cm="1">
        <f t="array" ref="A336">A335+1</f>
        <v>321</v>
      </c>
      <c r="B336" s="79" t="s">
        <v>683</v>
      </c>
      <c r="C336" s="95">
        <v>3</v>
      </c>
      <c r="D336" s="79" t="s">
        <v>680</v>
      </c>
      <c r="E336" s="79" t="s">
        <v>684</v>
      </c>
      <c r="F336" s="79"/>
      <c r="G336" s="80" t="s">
        <v>654</v>
      </c>
      <c r="H336" s="81">
        <v>66798</v>
      </c>
      <c r="I336" s="82">
        <v>187</v>
      </c>
      <c r="J336" s="98"/>
      <c r="K336" s="100">
        <v>0</v>
      </c>
      <c r="L336" s="105" cm="1">
        <f t="array" ref="L336">WORKDAY(M336,-20)</f>
        <v>46171</v>
      </c>
      <c r="M336" s="85">
        <v>46199</v>
      </c>
      <c r="N336" s="86" cm="1">
        <f t="array" ref="N336">WORKDAY(M336,10)</f>
        <v>46213</v>
      </c>
      <c r="O336" s="87">
        <v>0</v>
      </c>
      <c r="P336" s="88">
        <v>0</v>
      </c>
      <c r="Q336" s="89">
        <v>46167</v>
      </c>
      <c r="R336" s="96">
        <v>46195</v>
      </c>
      <c r="S336" s="86" cm="1">
        <f t="array" ref="S336">WORKDAY(R336,10)</f>
        <v>46209</v>
      </c>
      <c r="T336" s="87">
        <v>0</v>
      </c>
      <c r="U336" s="91" t="s">
        <v>105</v>
      </c>
      <c r="V336" s="92">
        <v>0</v>
      </c>
      <c r="W336" s="93" cm="1">
        <f t="array" ref="W336">WORKDAY(X336,-20)</f>
        <v>46266</v>
      </c>
      <c r="X336" s="90">
        <v>46294</v>
      </c>
      <c r="Y336" s="88">
        <v>0</v>
      </c>
      <c r="Z336" s="93">
        <v>46315</v>
      </c>
      <c r="AA336" s="90">
        <v>46357</v>
      </c>
      <c r="AB336" s="88">
        <v>0</v>
      </c>
      <c r="AC336" s="79" t="s">
        <v>49</v>
      </c>
      <c r="AD336" s="79" t="s">
        <v>49</v>
      </c>
      <c r="AE336" s="90"/>
      <c r="AF336" s="88">
        <v>0</v>
      </c>
      <c r="AG336" s="93" cm="1">
        <f t="array" ref="AG336">WORKDAY(AA336,2)</f>
        <v>46359</v>
      </c>
      <c r="AH336" s="90" cm="1">
        <f t="array" ref="AH336">WORKDAY(AG336,1)</f>
        <v>46360</v>
      </c>
      <c r="AI336" s="86" cm="1">
        <f t="array" ref="AI336">WORKDAY(AH336,1)</f>
        <v>46363</v>
      </c>
      <c r="AJ336" s="145"/>
      <c r="AK336" s="56"/>
    </row>
    <row r="337" spans="1:37" ht="25.5" customHeight="1">
      <c r="A337" s="140" cm="1">
        <f t="array" ref="A337">A336+1</f>
        <v>322</v>
      </c>
      <c r="B337" s="79" t="s">
        <v>672</v>
      </c>
      <c r="C337" s="95">
        <v>3</v>
      </c>
      <c r="D337" s="79" t="s">
        <v>657</v>
      </c>
      <c r="E337" s="79" t="s">
        <v>673</v>
      </c>
      <c r="F337" s="79"/>
      <c r="G337" s="80" t="s">
        <v>654</v>
      </c>
      <c r="H337" s="81">
        <v>66798</v>
      </c>
      <c r="I337" s="79" t="s">
        <v>674</v>
      </c>
      <c r="J337" s="98"/>
      <c r="K337" s="100">
        <v>0</v>
      </c>
      <c r="L337" s="105" cm="1">
        <f t="array" ref="L337">WORKDAY(M337,-20)</f>
        <v>46171</v>
      </c>
      <c r="M337" s="85">
        <v>46199</v>
      </c>
      <c r="N337" s="86" cm="1">
        <f t="array" ref="N337">WORKDAY(M337,10)</f>
        <v>46213</v>
      </c>
      <c r="O337" s="87">
        <v>0</v>
      </c>
      <c r="P337" s="88">
        <v>0</v>
      </c>
      <c r="Q337" s="89">
        <v>46167</v>
      </c>
      <c r="R337" s="96">
        <v>46195</v>
      </c>
      <c r="S337" s="86" cm="1">
        <f t="array" ref="S337">WORKDAY(R337,10)</f>
        <v>46209</v>
      </c>
      <c r="T337" s="87">
        <v>0</v>
      </c>
      <c r="U337" s="91" t="s">
        <v>105</v>
      </c>
      <c r="V337" s="92">
        <v>0</v>
      </c>
      <c r="W337" s="93" cm="1">
        <f t="array" ref="W337">WORKDAY(X337,-20)</f>
        <v>46265</v>
      </c>
      <c r="X337" s="90">
        <v>46293</v>
      </c>
      <c r="Y337" s="88">
        <v>0</v>
      </c>
      <c r="Z337" s="93">
        <v>46316</v>
      </c>
      <c r="AA337" s="90">
        <v>46358</v>
      </c>
      <c r="AB337" s="88">
        <v>0</v>
      </c>
      <c r="AC337" s="79" t="s">
        <v>49</v>
      </c>
      <c r="AD337" s="79" t="s">
        <v>49</v>
      </c>
      <c r="AE337" s="90"/>
      <c r="AF337" s="88">
        <v>0</v>
      </c>
      <c r="AG337" s="93" cm="1">
        <f t="array" ref="AG337">WORKDAY(AA337,2)</f>
        <v>46360</v>
      </c>
      <c r="AH337" s="90" cm="1">
        <f t="array" ref="AH337">WORKDAY(AG337,1)</f>
        <v>46363</v>
      </c>
      <c r="AI337" s="86" cm="1">
        <f t="array" ref="AI337">WORKDAY(AH337,1)</f>
        <v>46364</v>
      </c>
      <c r="AJ337" s="145"/>
      <c r="AK337" s="56"/>
    </row>
    <row r="338" spans="1:37" ht="25.5" customHeight="1">
      <c r="A338" s="140" cm="1">
        <f t="array" ref="A338">A337+1</f>
        <v>323</v>
      </c>
      <c r="B338" s="79" t="s">
        <v>685</v>
      </c>
      <c r="C338" s="95">
        <v>3</v>
      </c>
      <c r="D338" s="79" t="s">
        <v>680</v>
      </c>
      <c r="E338" s="79" t="s">
        <v>686</v>
      </c>
      <c r="F338" s="79"/>
      <c r="G338" s="80" t="s">
        <v>654</v>
      </c>
      <c r="H338" s="81">
        <v>66798</v>
      </c>
      <c r="I338" s="82">
        <v>188</v>
      </c>
      <c r="J338" s="98"/>
      <c r="K338" s="100">
        <v>0</v>
      </c>
      <c r="L338" s="105" cm="1">
        <f t="array" ref="L338">WORKDAY(M338,-20)</f>
        <v>46171</v>
      </c>
      <c r="M338" s="85">
        <v>46199</v>
      </c>
      <c r="N338" s="86" cm="1">
        <f t="array" ref="N338">WORKDAY(M338,10)</f>
        <v>46213</v>
      </c>
      <c r="O338" s="87">
        <v>0</v>
      </c>
      <c r="P338" s="88">
        <v>0</v>
      </c>
      <c r="Q338" s="89">
        <v>46167</v>
      </c>
      <c r="R338" s="96">
        <v>46195</v>
      </c>
      <c r="S338" s="86" cm="1">
        <f t="array" ref="S338">WORKDAY(R338,10)</f>
        <v>46209</v>
      </c>
      <c r="T338" s="87">
        <v>0</v>
      </c>
      <c r="U338" s="91" t="s">
        <v>105</v>
      </c>
      <c r="V338" s="92">
        <v>0</v>
      </c>
      <c r="W338" s="93" cm="1">
        <f t="array" ref="W338">WORKDAY(X338,-20)</f>
        <v>46267</v>
      </c>
      <c r="X338" s="90">
        <v>46295</v>
      </c>
      <c r="Y338" s="88">
        <v>0</v>
      </c>
      <c r="Z338" s="93">
        <v>46316</v>
      </c>
      <c r="AA338" s="90">
        <v>46358</v>
      </c>
      <c r="AB338" s="88">
        <v>0</v>
      </c>
      <c r="AC338" s="79" t="s">
        <v>49</v>
      </c>
      <c r="AD338" s="79" t="s">
        <v>49</v>
      </c>
      <c r="AE338" s="90"/>
      <c r="AF338" s="88">
        <v>0</v>
      </c>
      <c r="AG338" s="93" cm="1">
        <f t="array" ref="AG338">WORKDAY(AA338,2)</f>
        <v>46360</v>
      </c>
      <c r="AH338" s="90" cm="1">
        <f t="array" ref="AH338">WORKDAY(AG338,1)</f>
        <v>46363</v>
      </c>
      <c r="AI338" s="86" cm="1">
        <f t="array" ref="AI338">WORKDAY(AH338,1)</f>
        <v>46364</v>
      </c>
      <c r="AJ338" s="145"/>
      <c r="AK338" s="56"/>
    </row>
    <row r="339" spans="1:37" ht="25.5" customHeight="1">
      <c r="A339" s="140" cm="1">
        <f t="array" ref="A339">A338+1</f>
        <v>324</v>
      </c>
      <c r="B339" s="79" t="s">
        <v>687</v>
      </c>
      <c r="C339" s="95">
        <v>3</v>
      </c>
      <c r="D339" s="79" t="s">
        <v>680</v>
      </c>
      <c r="E339" s="79" t="s">
        <v>688</v>
      </c>
      <c r="F339" s="79"/>
      <c r="G339" s="80" t="s">
        <v>654</v>
      </c>
      <c r="H339" s="81">
        <v>66798</v>
      </c>
      <c r="I339" s="82">
        <v>189</v>
      </c>
      <c r="J339" s="98"/>
      <c r="K339" s="100">
        <v>0</v>
      </c>
      <c r="L339" s="105" cm="1">
        <f t="array" ref="L339">WORKDAY(M339,-20)</f>
        <v>46171</v>
      </c>
      <c r="M339" s="85">
        <v>46199</v>
      </c>
      <c r="N339" s="86" cm="1">
        <f t="array" ref="N339">WORKDAY(M339,10)</f>
        <v>46213</v>
      </c>
      <c r="O339" s="87">
        <v>0</v>
      </c>
      <c r="P339" s="88">
        <v>0</v>
      </c>
      <c r="Q339" s="89">
        <v>46167</v>
      </c>
      <c r="R339" s="96">
        <v>46195</v>
      </c>
      <c r="S339" s="86" cm="1">
        <f t="array" ref="S339">WORKDAY(R339,10)</f>
        <v>46209</v>
      </c>
      <c r="T339" s="87">
        <v>0</v>
      </c>
      <c r="U339" s="91" t="s">
        <v>105</v>
      </c>
      <c r="V339" s="92">
        <v>0</v>
      </c>
      <c r="W339" s="93" cm="1">
        <f t="array" ref="W339">WORKDAY(X339,-20)</f>
        <v>46267</v>
      </c>
      <c r="X339" s="90">
        <v>46295</v>
      </c>
      <c r="Y339" s="88">
        <v>0</v>
      </c>
      <c r="Z339" s="93">
        <v>46316</v>
      </c>
      <c r="AA339" s="90">
        <v>46358</v>
      </c>
      <c r="AB339" s="88">
        <v>0</v>
      </c>
      <c r="AC339" s="79" t="s">
        <v>49</v>
      </c>
      <c r="AD339" s="79" t="s">
        <v>49</v>
      </c>
      <c r="AE339" s="90"/>
      <c r="AF339" s="88">
        <v>0</v>
      </c>
      <c r="AG339" s="93" cm="1">
        <f t="array" ref="AG339">WORKDAY(AA339,2)</f>
        <v>46360</v>
      </c>
      <c r="AH339" s="90" cm="1">
        <f t="array" ref="AH339">WORKDAY(AG339,1)</f>
        <v>46363</v>
      </c>
      <c r="AI339" s="86" cm="1">
        <f t="array" ref="AI339">WORKDAY(AH339,1)</f>
        <v>46364</v>
      </c>
      <c r="AJ339" s="145"/>
      <c r="AK339" s="56"/>
    </row>
    <row r="340" spans="1:37" ht="25.5" customHeight="1">
      <c r="A340" s="140" cm="1">
        <f t="array" ref="A340">A339+1</f>
        <v>325</v>
      </c>
      <c r="B340" s="79" t="s">
        <v>689</v>
      </c>
      <c r="C340" s="95">
        <v>3</v>
      </c>
      <c r="D340" s="79" t="s">
        <v>680</v>
      </c>
      <c r="E340" s="79" t="s">
        <v>690</v>
      </c>
      <c r="F340" s="79"/>
      <c r="G340" s="80" t="s">
        <v>654</v>
      </c>
      <c r="H340" s="81">
        <v>66798</v>
      </c>
      <c r="I340" s="82">
        <v>190</v>
      </c>
      <c r="J340" s="98"/>
      <c r="K340" s="100">
        <v>0</v>
      </c>
      <c r="L340" s="105" cm="1">
        <f t="array" ref="L340">WORKDAY(M340,-20)</f>
        <v>46171</v>
      </c>
      <c r="M340" s="85">
        <v>46199</v>
      </c>
      <c r="N340" s="86" cm="1">
        <f t="array" ref="N340">WORKDAY(M340,10)</f>
        <v>46213</v>
      </c>
      <c r="O340" s="87">
        <v>0</v>
      </c>
      <c r="P340" s="88">
        <v>0</v>
      </c>
      <c r="Q340" s="89">
        <v>46167</v>
      </c>
      <c r="R340" s="96">
        <v>46195</v>
      </c>
      <c r="S340" s="86" cm="1">
        <f t="array" ref="S340">WORKDAY(R340,10)</f>
        <v>46209</v>
      </c>
      <c r="T340" s="87">
        <v>0</v>
      </c>
      <c r="U340" s="91" t="s">
        <v>105</v>
      </c>
      <c r="V340" s="92">
        <v>0</v>
      </c>
      <c r="W340" s="93" cm="1">
        <f t="array" ref="W340">WORKDAY(X340,-20)</f>
        <v>46267</v>
      </c>
      <c r="X340" s="90">
        <v>46295</v>
      </c>
      <c r="Y340" s="88">
        <v>0</v>
      </c>
      <c r="Z340" s="93">
        <v>46316</v>
      </c>
      <c r="AA340" s="90">
        <v>46358</v>
      </c>
      <c r="AB340" s="88">
        <v>0</v>
      </c>
      <c r="AC340" s="79" t="s">
        <v>49</v>
      </c>
      <c r="AD340" s="79" t="s">
        <v>49</v>
      </c>
      <c r="AE340" s="90"/>
      <c r="AF340" s="88">
        <v>0</v>
      </c>
      <c r="AG340" s="93" cm="1">
        <f t="array" ref="AG340">WORKDAY(AA340,2)</f>
        <v>46360</v>
      </c>
      <c r="AH340" s="90" cm="1">
        <f t="array" ref="AH340">WORKDAY(AG340,1)</f>
        <v>46363</v>
      </c>
      <c r="AI340" s="86" cm="1">
        <f t="array" ref="AI340">WORKDAY(AH340,1)</f>
        <v>46364</v>
      </c>
      <c r="AJ340" s="145"/>
      <c r="AK340" s="56"/>
    </row>
    <row r="341" spans="1:37" ht="25.5" customHeight="1">
      <c r="A341" s="140" cm="1">
        <f t="array" ref="A341">A340+1</f>
        <v>326</v>
      </c>
      <c r="B341" s="79" t="s">
        <v>691</v>
      </c>
      <c r="C341" s="95">
        <v>3</v>
      </c>
      <c r="D341" s="79" t="s">
        <v>680</v>
      </c>
      <c r="E341" s="79" t="s">
        <v>692</v>
      </c>
      <c r="F341" s="79"/>
      <c r="G341" s="80" t="s">
        <v>654</v>
      </c>
      <c r="H341" s="81">
        <v>66798</v>
      </c>
      <c r="I341" s="82">
        <v>191</v>
      </c>
      <c r="J341" s="98"/>
      <c r="K341" s="100">
        <v>0</v>
      </c>
      <c r="L341" s="105" cm="1">
        <f t="array" ref="L341">WORKDAY(M341,-20)</f>
        <v>46171</v>
      </c>
      <c r="M341" s="85">
        <v>46199</v>
      </c>
      <c r="N341" s="86" cm="1">
        <f t="array" ref="N341">WORKDAY(M341,10)</f>
        <v>46213</v>
      </c>
      <c r="O341" s="87">
        <v>0</v>
      </c>
      <c r="P341" s="88">
        <v>0</v>
      </c>
      <c r="Q341" s="89">
        <v>46167</v>
      </c>
      <c r="R341" s="96">
        <v>46195</v>
      </c>
      <c r="S341" s="86" cm="1">
        <f t="array" ref="S341">WORKDAY(R341,10)</f>
        <v>46209</v>
      </c>
      <c r="T341" s="87">
        <v>0</v>
      </c>
      <c r="U341" s="91" t="s">
        <v>114</v>
      </c>
      <c r="V341" s="92">
        <v>0</v>
      </c>
      <c r="W341" s="93" cm="1">
        <f t="array" ref="W341">WORKDAY(X341,-20)</f>
        <v>46268</v>
      </c>
      <c r="X341" s="90">
        <v>46296</v>
      </c>
      <c r="Y341" s="88">
        <v>0</v>
      </c>
      <c r="Z341" s="93">
        <v>46317</v>
      </c>
      <c r="AA341" s="90">
        <v>46359</v>
      </c>
      <c r="AB341" s="88">
        <v>0</v>
      </c>
      <c r="AC341" s="79" t="s">
        <v>49</v>
      </c>
      <c r="AD341" s="79" t="s">
        <v>49</v>
      </c>
      <c r="AE341" s="90"/>
      <c r="AF341" s="88">
        <v>0</v>
      </c>
      <c r="AG341" s="93" cm="1">
        <f t="array" ref="AG341">WORKDAY(AA341,2)</f>
        <v>46363</v>
      </c>
      <c r="AH341" s="90" cm="1">
        <f t="array" ref="AH341">WORKDAY(AG341,1)</f>
        <v>46364</v>
      </c>
      <c r="AI341" s="86" cm="1">
        <f t="array" ref="AI341">WORKDAY(AH341,1)</f>
        <v>46365</v>
      </c>
      <c r="AJ341" s="145"/>
      <c r="AK341" s="56"/>
    </row>
    <row r="342" spans="1:37" ht="25.5" customHeight="1">
      <c r="A342" s="140" cm="1">
        <f t="array" ref="A342">A341+1</f>
        <v>327</v>
      </c>
      <c r="B342" s="79" t="s">
        <v>693</v>
      </c>
      <c r="C342" s="95">
        <v>3</v>
      </c>
      <c r="D342" s="79" t="s">
        <v>676</v>
      </c>
      <c r="E342" s="79" t="s">
        <v>694</v>
      </c>
      <c r="F342" s="79"/>
      <c r="G342" s="80" t="s">
        <v>654</v>
      </c>
      <c r="H342" s="81">
        <v>66798</v>
      </c>
      <c r="I342" s="82">
        <v>192</v>
      </c>
      <c r="J342" s="98"/>
      <c r="K342" s="100">
        <v>0</v>
      </c>
      <c r="L342" s="105" cm="1">
        <f t="array" ref="L342">WORKDAY(M342,-20)</f>
        <v>46171</v>
      </c>
      <c r="M342" s="85">
        <v>46199</v>
      </c>
      <c r="N342" s="86" cm="1">
        <f t="array" ref="N342">WORKDAY(M342,10)</f>
        <v>46213</v>
      </c>
      <c r="O342" s="87">
        <v>0</v>
      </c>
      <c r="P342" s="88">
        <v>0</v>
      </c>
      <c r="Q342" s="89">
        <v>46167</v>
      </c>
      <c r="R342" s="96">
        <v>46195</v>
      </c>
      <c r="S342" s="86" cm="1">
        <f t="array" ref="S342">WORKDAY(R342,10)</f>
        <v>46209</v>
      </c>
      <c r="T342" s="87">
        <v>0</v>
      </c>
      <c r="U342" s="91" t="s">
        <v>114</v>
      </c>
      <c r="V342" s="92">
        <v>0</v>
      </c>
      <c r="W342" s="93" cm="1">
        <f t="array" ref="W342">WORKDAY(X342,-20)</f>
        <v>46269</v>
      </c>
      <c r="X342" s="90">
        <v>46297</v>
      </c>
      <c r="Y342" s="88">
        <v>0</v>
      </c>
      <c r="Z342" s="93">
        <v>46317</v>
      </c>
      <c r="AA342" s="90">
        <v>46359</v>
      </c>
      <c r="AB342" s="88">
        <v>0</v>
      </c>
      <c r="AC342" s="79" t="s">
        <v>49</v>
      </c>
      <c r="AD342" s="79" t="s">
        <v>49</v>
      </c>
      <c r="AE342" s="90"/>
      <c r="AF342" s="88">
        <v>0</v>
      </c>
      <c r="AG342" s="93" cm="1">
        <f t="array" ref="AG342">WORKDAY(AA342,2)</f>
        <v>46363</v>
      </c>
      <c r="AH342" s="90" cm="1">
        <f t="array" ref="AH342">WORKDAY(AG342,1)</f>
        <v>46364</v>
      </c>
      <c r="AI342" s="86" cm="1">
        <f t="array" ref="AI342">WORKDAY(AH342,1)</f>
        <v>46365</v>
      </c>
      <c r="AJ342" s="145"/>
      <c r="AK342" s="56"/>
    </row>
    <row r="343" spans="1:37" ht="25.5" customHeight="1">
      <c r="A343" s="140" cm="1">
        <f t="array" ref="A343">A342+1</f>
        <v>328</v>
      </c>
      <c r="B343" s="79" t="s">
        <v>695</v>
      </c>
      <c r="C343" s="95">
        <v>3</v>
      </c>
      <c r="D343" s="79" t="s">
        <v>680</v>
      </c>
      <c r="E343" s="79" t="s">
        <v>696</v>
      </c>
      <c r="F343" s="79"/>
      <c r="G343" s="80" t="s">
        <v>654</v>
      </c>
      <c r="H343" s="81">
        <v>66798</v>
      </c>
      <c r="I343" s="82">
        <v>193</v>
      </c>
      <c r="J343" s="98"/>
      <c r="K343" s="100">
        <v>0</v>
      </c>
      <c r="L343" s="105" cm="1">
        <f t="array" ref="L343">WORKDAY(M343,-20)</f>
        <v>46171</v>
      </c>
      <c r="M343" s="85">
        <v>46199</v>
      </c>
      <c r="N343" s="86" cm="1">
        <f t="array" ref="N343">WORKDAY(M343,10)</f>
        <v>46213</v>
      </c>
      <c r="O343" s="87">
        <v>0</v>
      </c>
      <c r="P343" s="88">
        <v>0</v>
      </c>
      <c r="Q343" s="89">
        <v>46167</v>
      </c>
      <c r="R343" s="96">
        <v>46195</v>
      </c>
      <c r="S343" s="86" cm="1">
        <f t="array" ref="S343">WORKDAY(R343,10)</f>
        <v>46209</v>
      </c>
      <c r="T343" s="87">
        <v>0</v>
      </c>
      <c r="U343" s="91" t="s">
        <v>114</v>
      </c>
      <c r="V343" s="92">
        <v>0</v>
      </c>
      <c r="W343" s="93" cm="1">
        <f t="array" ref="W343">WORKDAY(X343,-20)</f>
        <v>46272</v>
      </c>
      <c r="X343" s="90">
        <v>46300</v>
      </c>
      <c r="Y343" s="88">
        <v>0</v>
      </c>
      <c r="Z343" s="93">
        <v>46317</v>
      </c>
      <c r="AA343" s="90">
        <v>46359</v>
      </c>
      <c r="AB343" s="88">
        <v>0</v>
      </c>
      <c r="AC343" s="79" t="s">
        <v>49</v>
      </c>
      <c r="AD343" s="79" t="s">
        <v>49</v>
      </c>
      <c r="AE343" s="90"/>
      <c r="AF343" s="88">
        <v>0</v>
      </c>
      <c r="AG343" s="93" cm="1">
        <f t="array" ref="AG343">WORKDAY(AA343,2)</f>
        <v>46363</v>
      </c>
      <c r="AH343" s="90" cm="1">
        <f t="array" ref="AH343">WORKDAY(AG343,1)</f>
        <v>46364</v>
      </c>
      <c r="AI343" s="86" cm="1">
        <f t="array" ref="AI343">WORKDAY(AH343,1)</f>
        <v>46365</v>
      </c>
      <c r="AJ343" s="145"/>
      <c r="AK343" s="56"/>
    </row>
    <row r="344" spans="1:37" ht="25.5" customHeight="1">
      <c r="A344" s="140" cm="1">
        <f t="array" ref="A344">A343+1</f>
        <v>329</v>
      </c>
      <c r="B344" s="79" t="s">
        <v>697</v>
      </c>
      <c r="C344" s="95">
        <v>3</v>
      </c>
      <c r="D344" s="79" t="s">
        <v>680</v>
      </c>
      <c r="E344" s="79" t="s">
        <v>698</v>
      </c>
      <c r="F344" s="79"/>
      <c r="G344" s="80" t="s">
        <v>654</v>
      </c>
      <c r="H344" s="81">
        <v>66798</v>
      </c>
      <c r="I344" s="82">
        <v>194</v>
      </c>
      <c r="J344" s="98"/>
      <c r="K344" s="100">
        <v>0</v>
      </c>
      <c r="L344" s="105" cm="1">
        <f t="array" ref="L344">WORKDAY(M344,-20)</f>
        <v>46171</v>
      </c>
      <c r="M344" s="85">
        <v>46199</v>
      </c>
      <c r="N344" s="86" cm="1">
        <f t="array" ref="N344">WORKDAY(M344,10)</f>
        <v>46213</v>
      </c>
      <c r="O344" s="87">
        <v>0</v>
      </c>
      <c r="P344" s="88">
        <v>0</v>
      </c>
      <c r="Q344" s="89">
        <v>46167</v>
      </c>
      <c r="R344" s="96">
        <v>46195</v>
      </c>
      <c r="S344" s="86" cm="1">
        <f t="array" ref="S344">WORKDAY(R344,10)</f>
        <v>46209</v>
      </c>
      <c r="T344" s="87">
        <v>0</v>
      </c>
      <c r="U344" s="91" t="s">
        <v>114</v>
      </c>
      <c r="V344" s="92">
        <v>0</v>
      </c>
      <c r="W344" s="93" cm="1">
        <f t="array" ref="W344">WORKDAY(X344,-20)</f>
        <v>46273</v>
      </c>
      <c r="X344" s="90">
        <v>46301</v>
      </c>
      <c r="Y344" s="88">
        <v>0</v>
      </c>
      <c r="Z344" s="93">
        <v>46318</v>
      </c>
      <c r="AA344" s="90">
        <v>46360</v>
      </c>
      <c r="AB344" s="88">
        <v>0</v>
      </c>
      <c r="AC344" s="79" t="s">
        <v>49</v>
      </c>
      <c r="AD344" s="79" t="s">
        <v>49</v>
      </c>
      <c r="AE344" s="90"/>
      <c r="AF344" s="88">
        <v>0</v>
      </c>
      <c r="AG344" s="93" cm="1">
        <f t="array" ref="AG344">WORKDAY(AA344,2)</f>
        <v>46364</v>
      </c>
      <c r="AH344" s="90" cm="1">
        <f t="array" ref="AH344">WORKDAY(AG344,1)</f>
        <v>46365</v>
      </c>
      <c r="AI344" s="86" cm="1">
        <f t="array" ref="AI344">WORKDAY(AH344,1)</f>
        <v>46366</v>
      </c>
      <c r="AJ344" s="145"/>
      <c r="AK344" s="56"/>
    </row>
    <row r="345" spans="1:37" ht="25.5" customHeight="1">
      <c r="A345" s="140" cm="1">
        <f t="array" ref="A345">A344+1</f>
        <v>330</v>
      </c>
      <c r="B345" s="79" t="s">
        <v>699</v>
      </c>
      <c r="C345" s="95">
        <v>3</v>
      </c>
      <c r="D345" s="79" t="s">
        <v>680</v>
      </c>
      <c r="E345" s="79" t="s">
        <v>700</v>
      </c>
      <c r="F345" s="79"/>
      <c r="G345" s="80" t="s">
        <v>654</v>
      </c>
      <c r="H345" s="81">
        <v>66798</v>
      </c>
      <c r="I345" s="82">
        <v>195</v>
      </c>
      <c r="J345" s="98"/>
      <c r="K345" s="100">
        <v>0</v>
      </c>
      <c r="L345" s="105" cm="1">
        <f t="array" ref="L345">WORKDAY(M345,-20)</f>
        <v>46171</v>
      </c>
      <c r="M345" s="85">
        <v>46199</v>
      </c>
      <c r="N345" s="86" cm="1">
        <f t="array" ref="N345">WORKDAY(M345,10)</f>
        <v>46213</v>
      </c>
      <c r="O345" s="87">
        <v>0</v>
      </c>
      <c r="P345" s="88">
        <v>0</v>
      </c>
      <c r="Q345" s="89">
        <v>46167</v>
      </c>
      <c r="R345" s="96">
        <v>46195</v>
      </c>
      <c r="S345" s="86" cm="1">
        <f t="array" ref="S345">WORKDAY(R345,10)</f>
        <v>46209</v>
      </c>
      <c r="T345" s="87">
        <v>0</v>
      </c>
      <c r="U345" s="91" t="s">
        <v>114</v>
      </c>
      <c r="V345" s="92">
        <v>0</v>
      </c>
      <c r="W345" s="93" cm="1">
        <f t="array" ref="W345">WORKDAY(X345,-20)</f>
        <v>46274</v>
      </c>
      <c r="X345" s="90">
        <v>46302</v>
      </c>
      <c r="Y345" s="88">
        <v>0</v>
      </c>
      <c r="Z345" s="93">
        <v>46318</v>
      </c>
      <c r="AA345" s="90">
        <v>46360</v>
      </c>
      <c r="AB345" s="88">
        <v>0</v>
      </c>
      <c r="AC345" s="79" t="s">
        <v>49</v>
      </c>
      <c r="AD345" s="79" t="s">
        <v>49</v>
      </c>
      <c r="AE345" s="90"/>
      <c r="AF345" s="88">
        <v>0</v>
      </c>
      <c r="AG345" s="93" cm="1">
        <f t="array" ref="AG345">WORKDAY(AA345,2)</f>
        <v>46364</v>
      </c>
      <c r="AH345" s="90" cm="1">
        <f t="array" ref="AH345">WORKDAY(AG345,1)</f>
        <v>46365</v>
      </c>
      <c r="AI345" s="86" cm="1">
        <f t="array" ref="AI345">WORKDAY(AH345,1)</f>
        <v>46366</v>
      </c>
      <c r="AJ345" s="145"/>
      <c r="AK345" s="56"/>
    </row>
    <row r="346" spans="1:37" ht="25.5" customHeight="1">
      <c r="A346" s="140" cm="1">
        <f t="array" ref="A346">A345+1</f>
        <v>331</v>
      </c>
      <c r="B346" s="79" t="s">
        <v>701</v>
      </c>
      <c r="C346" s="95">
        <v>3</v>
      </c>
      <c r="D346" s="79" t="s">
        <v>680</v>
      </c>
      <c r="E346" s="79" t="s">
        <v>702</v>
      </c>
      <c r="F346" s="79"/>
      <c r="G346" s="80" t="s">
        <v>654</v>
      </c>
      <c r="H346" s="81">
        <v>66798</v>
      </c>
      <c r="I346" s="82">
        <v>196</v>
      </c>
      <c r="J346" s="98"/>
      <c r="K346" s="100">
        <v>0</v>
      </c>
      <c r="L346" s="105" cm="1">
        <f t="array" ref="L346">WORKDAY(M346,-20)</f>
        <v>46171</v>
      </c>
      <c r="M346" s="85">
        <v>46199</v>
      </c>
      <c r="N346" s="86" cm="1">
        <f t="array" ref="N346">WORKDAY(M346,10)</f>
        <v>46213</v>
      </c>
      <c r="O346" s="87">
        <v>0</v>
      </c>
      <c r="P346" s="88">
        <v>0</v>
      </c>
      <c r="Q346" s="89">
        <v>46167</v>
      </c>
      <c r="R346" s="96">
        <v>46195</v>
      </c>
      <c r="S346" s="86" cm="1">
        <f t="array" ref="S346">WORKDAY(R346,10)</f>
        <v>46209</v>
      </c>
      <c r="T346" s="87">
        <v>0</v>
      </c>
      <c r="U346" s="91" t="s">
        <v>114</v>
      </c>
      <c r="V346" s="92">
        <v>0</v>
      </c>
      <c r="W346" s="93" cm="1">
        <f t="array" ref="W346">WORKDAY(X346,-20)</f>
        <v>46275</v>
      </c>
      <c r="X346" s="90">
        <v>46303</v>
      </c>
      <c r="Y346" s="88">
        <v>0</v>
      </c>
      <c r="Z346" s="93">
        <v>46318</v>
      </c>
      <c r="AA346" s="90">
        <v>46360</v>
      </c>
      <c r="AB346" s="88">
        <v>0</v>
      </c>
      <c r="AC346" s="79" t="s">
        <v>49</v>
      </c>
      <c r="AD346" s="79" t="s">
        <v>49</v>
      </c>
      <c r="AE346" s="90"/>
      <c r="AF346" s="88">
        <v>0</v>
      </c>
      <c r="AG346" s="93" cm="1">
        <f t="array" ref="AG346">WORKDAY(AA346,2)</f>
        <v>46364</v>
      </c>
      <c r="AH346" s="90" cm="1">
        <f t="array" ref="AH346">WORKDAY(AG346,1)</f>
        <v>46365</v>
      </c>
      <c r="AI346" s="86" cm="1">
        <f t="array" ref="AI346">WORKDAY(AH346,1)</f>
        <v>46366</v>
      </c>
      <c r="AJ346" s="145"/>
      <c r="AK346" s="56"/>
    </row>
    <row r="347" spans="1:37" ht="25.5" customHeight="1">
      <c r="A347" s="140" cm="1">
        <f t="array" ref="A347">A346+1</f>
        <v>332</v>
      </c>
      <c r="B347" s="79" t="s">
        <v>703</v>
      </c>
      <c r="C347" s="95">
        <v>3</v>
      </c>
      <c r="D347" s="79" t="s">
        <v>680</v>
      </c>
      <c r="E347" s="79" t="s">
        <v>704</v>
      </c>
      <c r="F347" s="79"/>
      <c r="G347" s="80" t="s">
        <v>654</v>
      </c>
      <c r="H347" s="81">
        <v>66798</v>
      </c>
      <c r="I347" s="82">
        <v>197</v>
      </c>
      <c r="J347" s="98"/>
      <c r="K347" s="100">
        <v>0</v>
      </c>
      <c r="L347" s="105" cm="1">
        <f t="array" ref="L347">WORKDAY(M347,-20)</f>
        <v>46171</v>
      </c>
      <c r="M347" s="85">
        <v>46199</v>
      </c>
      <c r="N347" s="86" cm="1">
        <f t="array" ref="N347">WORKDAY(M347,10)</f>
        <v>46213</v>
      </c>
      <c r="O347" s="87">
        <v>0</v>
      </c>
      <c r="P347" s="88">
        <v>0</v>
      </c>
      <c r="Q347" s="89">
        <v>46167</v>
      </c>
      <c r="R347" s="96">
        <v>46195</v>
      </c>
      <c r="S347" s="86" cm="1">
        <f t="array" ref="S347">WORKDAY(R347,10)</f>
        <v>46209</v>
      </c>
      <c r="T347" s="87">
        <v>0</v>
      </c>
      <c r="U347" s="91" t="s">
        <v>114</v>
      </c>
      <c r="V347" s="92">
        <v>0</v>
      </c>
      <c r="W347" s="93" cm="1">
        <f t="array" ref="W347">WORKDAY(X347,-20)</f>
        <v>46276</v>
      </c>
      <c r="X347" s="90">
        <v>46304</v>
      </c>
      <c r="Y347" s="88">
        <v>0</v>
      </c>
      <c r="Z347" s="93">
        <v>46321</v>
      </c>
      <c r="AA347" s="90">
        <v>46363</v>
      </c>
      <c r="AB347" s="88">
        <v>0</v>
      </c>
      <c r="AC347" s="79" t="s">
        <v>49</v>
      </c>
      <c r="AD347" s="79" t="s">
        <v>49</v>
      </c>
      <c r="AE347" s="90"/>
      <c r="AF347" s="88">
        <v>0</v>
      </c>
      <c r="AG347" s="93" cm="1">
        <f t="array" ref="AG347">WORKDAY(AA347,2)</f>
        <v>46365</v>
      </c>
      <c r="AH347" s="90" cm="1">
        <f t="array" ref="AH347">WORKDAY(AG347,1)</f>
        <v>46366</v>
      </c>
      <c r="AI347" s="86" cm="1">
        <f t="array" ref="AI347">WORKDAY(AH347,1)</f>
        <v>46367</v>
      </c>
      <c r="AJ347" s="145"/>
      <c r="AK347" s="56"/>
    </row>
    <row r="348" spans="1:37" ht="25.5" customHeight="1">
      <c r="A348" s="140" cm="1">
        <f t="array" ref="A348">A347+1</f>
        <v>333</v>
      </c>
      <c r="B348" s="79" t="s">
        <v>705</v>
      </c>
      <c r="C348" s="95">
        <v>3</v>
      </c>
      <c r="D348" s="79" t="s">
        <v>680</v>
      </c>
      <c r="E348" s="79" t="s">
        <v>706</v>
      </c>
      <c r="F348" s="79"/>
      <c r="G348" s="80" t="s">
        <v>654</v>
      </c>
      <c r="H348" s="81">
        <v>66798</v>
      </c>
      <c r="I348" s="82">
        <v>198</v>
      </c>
      <c r="J348" s="98"/>
      <c r="K348" s="100">
        <v>0</v>
      </c>
      <c r="L348" s="105" cm="1">
        <f t="array" ref="L348">WORKDAY(M348,-20)</f>
        <v>46171</v>
      </c>
      <c r="M348" s="85">
        <v>46199</v>
      </c>
      <c r="N348" s="86" cm="1">
        <f t="array" ref="N348">WORKDAY(M348,10)</f>
        <v>46213</v>
      </c>
      <c r="O348" s="87">
        <v>0</v>
      </c>
      <c r="P348" s="88">
        <v>0</v>
      </c>
      <c r="Q348" s="89">
        <v>46167</v>
      </c>
      <c r="R348" s="96">
        <v>46195</v>
      </c>
      <c r="S348" s="86" cm="1">
        <f t="array" ref="S348">WORKDAY(R348,10)</f>
        <v>46209</v>
      </c>
      <c r="T348" s="87">
        <v>0</v>
      </c>
      <c r="U348" s="91" t="s">
        <v>114</v>
      </c>
      <c r="V348" s="92">
        <v>0</v>
      </c>
      <c r="W348" s="93" cm="1">
        <f t="array" ref="W348">WORKDAY(X348,-20)</f>
        <v>46279</v>
      </c>
      <c r="X348" s="90">
        <v>46307</v>
      </c>
      <c r="Y348" s="88">
        <v>0</v>
      </c>
      <c r="Z348" s="93">
        <v>46321</v>
      </c>
      <c r="AA348" s="90">
        <v>46363</v>
      </c>
      <c r="AB348" s="88">
        <v>0</v>
      </c>
      <c r="AC348" s="79" t="s">
        <v>49</v>
      </c>
      <c r="AD348" s="79" t="s">
        <v>49</v>
      </c>
      <c r="AE348" s="90"/>
      <c r="AF348" s="88">
        <v>0</v>
      </c>
      <c r="AG348" s="93" cm="1">
        <f t="array" ref="AG348">WORKDAY(AA348,2)</f>
        <v>46365</v>
      </c>
      <c r="AH348" s="90" cm="1">
        <f t="array" ref="AH348">WORKDAY(AG348,1)</f>
        <v>46366</v>
      </c>
      <c r="AI348" s="86" cm="1">
        <f t="array" ref="AI348">WORKDAY(AH348,1)</f>
        <v>46367</v>
      </c>
      <c r="AJ348" s="145"/>
      <c r="AK348" s="56"/>
    </row>
    <row r="349" spans="1:37" ht="25.5" customHeight="1">
      <c r="A349" s="140" cm="1">
        <f t="array" ref="A349">A348+1</f>
        <v>334</v>
      </c>
      <c r="B349" s="79" t="s">
        <v>707</v>
      </c>
      <c r="C349" s="95">
        <v>3</v>
      </c>
      <c r="D349" s="79" t="s">
        <v>708</v>
      </c>
      <c r="E349" s="79" t="s">
        <v>709</v>
      </c>
      <c r="F349" s="79"/>
      <c r="G349" s="80" t="s">
        <v>654</v>
      </c>
      <c r="H349" s="81">
        <v>66798</v>
      </c>
      <c r="I349" s="82">
        <v>199</v>
      </c>
      <c r="J349" s="98"/>
      <c r="K349" s="100">
        <v>0</v>
      </c>
      <c r="L349" s="105" cm="1">
        <f t="array" ref="L349">WORKDAY(M349,-20)</f>
        <v>46171</v>
      </c>
      <c r="M349" s="85">
        <v>46199</v>
      </c>
      <c r="N349" s="86" cm="1">
        <f t="array" ref="N349">WORKDAY(M349,10)</f>
        <v>46213</v>
      </c>
      <c r="O349" s="87">
        <v>0</v>
      </c>
      <c r="P349" s="88">
        <v>0</v>
      </c>
      <c r="Q349" s="89">
        <v>46167</v>
      </c>
      <c r="R349" s="96">
        <v>46195</v>
      </c>
      <c r="S349" s="86" cm="1">
        <f t="array" ref="S349">WORKDAY(R349,10)</f>
        <v>46209</v>
      </c>
      <c r="T349" s="87">
        <v>0</v>
      </c>
      <c r="U349" s="91" t="s">
        <v>114</v>
      </c>
      <c r="V349" s="92">
        <v>0</v>
      </c>
      <c r="W349" s="93" cm="1">
        <f t="array" ref="W349">WORKDAY(X349,-20)</f>
        <v>46280</v>
      </c>
      <c r="X349" s="90">
        <v>46308</v>
      </c>
      <c r="Y349" s="88">
        <v>0</v>
      </c>
      <c r="Z349" s="93">
        <v>46321</v>
      </c>
      <c r="AA349" s="90">
        <v>46363</v>
      </c>
      <c r="AB349" s="88">
        <v>0</v>
      </c>
      <c r="AC349" s="79" t="s">
        <v>49</v>
      </c>
      <c r="AD349" s="79" t="s">
        <v>49</v>
      </c>
      <c r="AE349" s="90"/>
      <c r="AF349" s="88">
        <v>0</v>
      </c>
      <c r="AG349" s="93" cm="1">
        <f t="array" ref="AG349">WORKDAY(AA349,2)</f>
        <v>46365</v>
      </c>
      <c r="AH349" s="90" cm="1">
        <f t="array" ref="AH349">WORKDAY(AG349,1)</f>
        <v>46366</v>
      </c>
      <c r="AI349" s="86" cm="1">
        <f t="array" ref="AI349">WORKDAY(AH349,1)</f>
        <v>46367</v>
      </c>
      <c r="AJ349" s="145"/>
      <c r="AK349" s="56"/>
    </row>
    <row r="350" spans="1:37" ht="25.5" customHeight="1">
      <c r="A350" s="140" cm="1">
        <f t="array" ref="A350">A349+1</f>
        <v>335</v>
      </c>
      <c r="B350" s="79" t="s">
        <v>710</v>
      </c>
      <c r="C350" s="95">
        <v>3</v>
      </c>
      <c r="D350" s="79" t="s">
        <v>711</v>
      </c>
      <c r="E350" s="79" t="s">
        <v>712</v>
      </c>
      <c r="F350" s="79"/>
      <c r="G350" s="80" t="s">
        <v>654</v>
      </c>
      <c r="H350" s="81">
        <v>66798</v>
      </c>
      <c r="I350" s="82">
        <v>200</v>
      </c>
      <c r="J350" s="98"/>
      <c r="K350" s="100">
        <v>0</v>
      </c>
      <c r="L350" s="105" cm="1">
        <f t="array" ref="L350">WORKDAY(M350,-20)</f>
        <v>46171</v>
      </c>
      <c r="M350" s="85">
        <v>46199</v>
      </c>
      <c r="N350" s="86" cm="1">
        <f t="array" ref="N350">WORKDAY(M350,10)</f>
        <v>46213</v>
      </c>
      <c r="O350" s="87">
        <v>0</v>
      </c>
      <c r="P350" s="88">
        <v>0</v>
      </c>
      <c r="Q350" s="89">
        <v>46167</v>
      </c>
      <c r="R350" s="96">
        <v>46195</v>
      </c>
      <c r="S350" s="86" cm="1">
        <f t="array" ref="S350">WORKDAY(R350,10)</f>
        <v>46209</v>
      </c>
      <c r="T350" s="87">
        <v>0</v>
      </c>
      <c r="U350" s="91" t="s">
        <v>114</v>
      </c>
      <c r="V350" s="92">
        <v>0</v>
      </c>
      <c r="W350" s="93" cm="1">
        <f t="array" ref="W350">WORKDAY(X350,-20)</f>
        <v>46281</v>
      </c>
      <c r="X350" s="90">
        <v>46309</v>
      </c>
      <c r="Y350" s="88">
        <v>0</v>
      </c>
      <c r="Z350" s="93">
        <v>46322</v>
      </c>
      <c r="AA350" s="90">
        <v>46364</v>
      </c>
      <c r="AB350" s="88">
        <v>0</v>
      </c>
      <c r="AC350" s="79" t="s">
        <v>49</v>
      </c>
      <c r="AD350" s="79" t="s">
        <v>49</v>
      </c>
      <c r="AE350" s="90"/>
      <c r="AF350" s="88">
        <v>0</v>
      </c>
      <c r="AG350" s="93" cm="1">
        <f t="array" ref="AG350">WORKDAY(AA350,2)</f>
        <v>46366</v>
      </c>
      <c r="AH350" s="90" cm="1">
        <f t="array" ref="AH350">WORKDAY(AG350,1)</f>
        <v>46367</v>
      </c>
      <c r="AI350" s="86" cm="1">
        <f t="array" ref="AI350">WORKDAY(AH350,1)</f>
        <v>46370</v>
      </c>
      <c r="AJ350" s="145"/>
      <c r="AK350" s="56"/>
    </row>
    <row r="351" spans="1:37" ht="25.5" customHeight="1">
      <c r="A351" s="140" cm="1">
        <f t="array" ref="A351">A350+1</f>
        <v>336</v>
      </c>
      <c r="B351" s="79" t="s">
        <v>713</v>
      </c>
      <c r="C351" s="95">
        <v>3</v>
      </c>
      <c r="D351" s="79" t="s">
        <v>711</v>
      </c>
      <c r="E351" s="79" t="s">
        <v>714</v>
      </c>
      <c r="F351" s="79"/>
      <c r="G351" s="80" t="s">
        <v>654</v>
      </c>
      <c r="H351" s="81">
        <v>66798</v>
      </c>
      <c r="I351" s="82">
        <v>201</v>
      </c>
      <c r="J351" s="98"/>
      <c r="K351" s="100">
        <v>0</v>
      </c>
      <c r="L351" s="105" cm="1">
        <f t="array" ref="L351">WORKDAY(M351,-20)</f>
        <v>46171</v>
      </c>
      <c r="M351" s="85">
        <v>46199</v>
      </c>
      <c r="N351" s="86" cm="1">
        <f t="array" ref="N351">WORKDAY(M351,10)</f>
        <v>46213</v>
      </c>
      <c r="O351" s="87">
        <v>0</v>
      </c>
      <c r="P351" s="88">
        <v>0</v>
      </c>
      <c r="Q351" s="89">
        <v>46167</v>
      </c>
      <c r="R351" s="96">
        <v>46195</v>
      </c>
      <c r="S351" s="86" cm="1">
        <f t="array" ref="S351">WORKDAY(R351,10)</f>
        <v>46209</v>
      </c>
      <c r="T351" s="87">
        <v>0</v>
      </c>
      <c r="U351" s="91" t="s">
        <v>114</v>
      </c>
      <c r="V351" s="92">
        <v>0</v>
      </c>
      <c r="W351" s="93" cm="1">
        <f t="array" ref="W351">WORKDAY(X351,-20)</f>
        <v>46282</v>
      </c>
      <c r="X351" s="90">
        <v>46310</v>
      </c>
      <c r="Y351" s="88">
        <v>0</v>
      </c>
      <c r="Z351" s="93">
        <v>46322</v>
      </c>
      <c r="AA351" s="90">
        <v>46364</v>
      </c>
      <c r="AB351" s="88">
        <v>0</v>
      </c>
      <c r="AC351" s="79" t="s">
        <v>49</v>
      </c>
      <c r="AD351" s="79" t="s">
        <v>49</v>
      </c>
      <c r="AE351" s="90"/>
      <c r="AF351" s="88">
        <v>0</v>
      </c>
      <c r="AG351" s="93" cm="1">
        <f t="array" ref="AG351">WORKDAY(AA351,2)</f>
        <v>46366</v>
      </c>
      <c r="AH351" s="90" cm="1">
        <f t="array" ref="AH351">WORKDAY(AG351,1)</f>
        <v>46367</v>
      </c>
      <c r="AI351" s="86" cm="1">
        <f t="array" ref="AI351">WORKDAY(AH351,1)</f>
        <v>46370</v>
      </c>
      <c r="AJ351" s="145"/>
      <c r="AK351" s="56"/>
    </row>
    <row r="352" spans="1:37" ht="25.5" customHeight="1">
      <c r="A352" s="140" cm="1">
        <f t="array" ref="A352">A351+1</f>
        <v>337</v>
      </c>
      <c r="B352" s="79" t="s">
        <v>715</v>
      </c>
      <c r="C352" s="95">
        <v>3</v>
      </c>
      <c r="D352" s="79" t="s">
        <v>711</v>
      </c>
      <c r="E352" s="79" t="s">
        <v>716</v>
      </c>
      <c r="F352" s="79"/>
      <c r="G352" s="80" t="s">
        <v>654</v>
      </c>
      <c r="H352" s="81">
        <v>66798</v>
      </c>
      <c r="I352" s="82">
        <v>202</v>
      </c>
      <c r="J352" s="98"/>
      <c r="K352" s="100">
        <v>0</v>
      </c>
      <c r="L352" s="105" cm="1">
        <f t="array" ref="L352">WORKDAY(M352,-20)</f>
        <v>46171</v>
      </c>
      <c r="M352" s="85">
        <v>46199</v>
      </c>
      <c r="N352" s="86" cm="1">
        <f t="array" ref="N352">WORKDAY(M352,10)</f>
        <v>46213</v>
      </c>
      <c r="O352" s="87">
        <v>0</v>
      </c>
      <c r="P352" s="88">
        <v>0</v>
      </c>
      <c r="Q352" s="89">
        <v>46167</v>
      </c>
      <c r="R352" s="96">
        <v>46195</v>
      </c>
      <c r="S352" s="86" cm="1">
        <f t="array" ref="S352">WORKDAY(R352,10)</f>
        <v>46209</v>
      </c>
      <c r="T352" s="87">
        <v>0</v>
      </c>
      <c r="U352" s="91" t="s">
        <v>114</v>
      </c>
      <c r="V352" s="92">
        <v>0</v>
      </c>
      <c r="W352" s="93" cm="1">
        <f t="array" ref="W352">WORKDAY(X352,-20)</f>
        <v>46283</v>
      </c>
      <c r="X352" s="90">
        <v>46311</v>
      </c>
      <c r="Y352" s="88">
        <v>0</v>
      </c>
      <c r="Z352" s="93">
        <v>46322</v>
      </c>
      <c r="AA352" s="90">
        <v>46364</v>
      </c>
      <c r="AB352" s="88">
        <v>0</v>
      </c>
      <c r="AC352" s="79" t="s">
        <v>49</v>
      </c>
      <c r="AD352" s="79" t="s">
        <v>49</v>
      </c>
      <c r="AE352" s="90"/>
      <c r="AF352" s="88">
        <v>0</v>
      </c>
      <c r="AG352" s="93" cm="1">
        <f t="array" ref="AG352">WORKDAY(AA352,2)</f>
        <v>46366</v>
      </c>
      <c r="AH352" s="90" cm="1">
        <f t="array" ref="AH352">WORKDAY(AG352,1)</f>
        <v>46367</v>
      </c>
      <c r="AI352" s="86" cm="1">
        <f t="array" ref="AI352">WORKDAY(AH352,1)</f>
        <v>46370</v>
      </c>
      <c r="AJ352" s="145"/>
      <c r="AK352" s="56"/>
    </row>
    <row r="353" spans="1:37" ht="25.5" customHeight="1">
      <c r="A353" s="140" cm="1">
        <f t="array" ref="A353">A352+1</f>
        <v>338</v>
      </c>
      <c r="B353" s="79" t="s">
        <v>717</v>
      </c>
      <c r="C353" s="95">
        <v>3</v>
      </c>
      <c r="D353" s="79" t="s">
        <v>711</v>
      </c>
      <c r="E353" s="79" t="s">
        <v>718</v>
      </c>
      <c r="F353" s="79"/>
      <c r="G353" s="80" t="s">
        <v>654</v>
      </c>
      <c r="H353" s="81">
        <v>66798</v>
      </c>
      <c r="I353" s="82">
        <v>203</v>
      </c>
      <c r="J353" s="98"/>
      <c r="K353" s="100">
        <v>0</v>
      </c>
      <c r="L353" s="105" cm="1">
        <f t="array" ref="L353">WORKDAY(M353,-20)</f>
        <v>46171</v>
      </c>
      <c r="M353" s="85">
        <v>46199</v>
      </c>
      <c r="N353" s="86" cm="1">
        <f t="array" ref="N353">WORKDAY(M353,10)</f>
        <v>46213</v>
      </c>
      <c r="O353" s="87">
        <v>0</v>
      </c>
      <c r="P353" s="88">
        <v>0</v>
      </c>
      <c r="Q353" s="89">
        <v>46167</v>
      </c>
      <c r="R353" s="96">
        <v>46195</v>
      </c>
      <c r="S353" s="86" cm="1">
        <f t="array" ref="S353">WORKDAY(R353,10)</f>
        <v>46209</v>
      </c>
      <c r="T353" s="87">
        <v>0</v>
      </c>
      <c r="U353" s="91" t="s">
        <v>114</v>
      </c>
      <c r="V353" s="92">
        <v>0</v>
      </c>
      <c r="W353" s="93" cm="1">
        <f t="array" ref="W353">WORKDAY(X353,-20)</f>
        <v>46286</v>
      </c>
      <c r="X353" s="90">
        <v>46314</v>
      </c>
      <c r="Y353" s="88">
        <v>0</v>
      </c>
      <c r="Z353" s="93">
        <v>46323</v>
      </c>
      <c r="AA353" s="90">
        <v>46365</v>
      </c>
      <c r="AB353" s="88">
        <v>0</v>
      </c>
      <c r="AC353" s="79" t="s">
        <v>49</v>
      </c>
      <c r="AD353" s="79" t="s">
        <v>49</v>
      </c>
      <c r="AE353" s="90"/>
      <c r="AF353" s="88">
        <v>0</v>
      </c>
      <c r="AG353" s="93" cm="1">
        <f t="array" ref="AG353">WORKDAY(AA353,2)</f>
        <v>46367</v>
      </c>
      <c r="AH353" s="90" cm="1">
        <f t="array" ref="AH353">WORKDAY(AG353,1)</f>
        <v>46370</v>
      </c>
      <c r="AI353" s="86" cm="1">
        <f t="array" ref="AI353">WORKDAY(AH353,1)</f>
        <v>46371</v>
      </c>
      <c r="AJ353" s="145"/>
      <c r="AK353" s="56"/>
    </row>
    <row r="354" spans="1:37" ht="25.5" customHeight="1">
      <c r="A354" s="140" cm="1">
        <f t="array" ref="A354">A353+1</f>
        <v>339</v>
      </c>
      <c r="B354" s="79" t="s">
        <v>719</v>
      </c>
      <c r="C354" s="95">
        <v>3</v>
      </c>
      <c r="D354" s="79" t="s">
        <v>711</v>
      </c>
      <c r="E354" s="79" t="s">
        <v>720</v>
      </c>
      <c r="F354" s="79"/>
      <c r="G354" s="80" t="s">
        <v>654</v>
      </c>
      <c r="H354" s="81">
        <v>66798</v>
      </c>
      <c r="I354" s="82">
        <v>204</v>
      </c>
      <c r="J354" s="98"/>
      <c r="K354" s="100">
        <v>0</v>
      </c>
      <c r="L354" s="105" cm="1">
        <f t="array" ref="L354">WORKDAY(M354,-20)</f>
        <v>46171</v>
      </c>
      <c r="M354" s="85">
        <v>46199</v>
      </c>
      <c r="N354" s="86" cm="1">
        <f t="array" ref="N354">WORKDAY(M354,10)</f>
        <v>46213</v>
      </c>
      <c r="O354" s="87">
        <v>0</v>
      </c>
      <c r="P354" s="88">
        <v>0</v>
      </c>
      <c r="Q354" s="89">
        <v>46167</v>
      </c>
      <c r="R354" s="96">
        <v>46195</v>
      </c>
      <c r="S354" s="86" cm="1">
        <f t="array" ref="S354">WORKDAY(R354,10)</f>
        <v>46209</v>
      </c>
      <c r="T354" s="87">
        <v>0</v>
      </c>
      <c r="U354" s="91" t="s">
        <v>105</v>
      </c>
      <c r="V354" s="92">
        <v>0</v>
      </c>
      <c r="W354" s="93" cm="1">
        <f t="array" ref="W354">WORKDAY(X354,-20)</f>
        <v>46268</v>
      </c>
      <c r="X354" s="90">
        <v>46296</v>
      </c>
      <c r="Y354" s="88">
        <v>0</v>
      </c>
      <c r="Z354" s="93">
        <v>46323</v>
      </c>
      <c r="AA354" s="90">
        <v>46365</v>
      </c>
      <c r="AB354" s="88">
        <v>0</v>
      </c>
      <c r="AC354" s="79" t="s">
        <v>49</v>
      </c>
      <c r="AD354" s="79" t="s">
        <v>49</v>
      </c>
      <c r="AE354" s="90"/>
      <c r="AF354" s="88">
        <v>0</v>
      </c>
      <c r="AG354" s="93" cm="1">
        <f t="array" ref="AG354">WORKDAY(AA354,2)</f>
        <v>46367</v>
      </c>
      <c r="AH354" s="90" cm="1">
        <f t="array" ref="AH354">WORKDAY(AG354,1)</f>
        <v>46370</v>
      </c>
      <c r="AI354" s="86" cm="1">
        <f t="array" ref="AI354">WORKDAY(AH354,1)</f>
        <v>46371</v>
      </c>
      <c r="AJ354" s="145"/>
      <c r="AK354" s="56"/>
    </row>
    <row r="355" spans="1:37" ht="25.5" customHeight="1">
      <c r="A355" s="140" cm="1">
        <f t="array" ref="A355">A354+1</f>
        <v>340</v>
      </c>
      <c r="B355" s="79" t="s">
        <v>721</v>
      </c>
      <c r="C355" s="95">
        <v>3</v>
      </c>
      <c r="D355" s="79" t="s">
        <v>711</v>
      </c>
      <c r="E355" s="79" t="s">
        <v>722</v>
      </c>
      <c r="F355" s="79"/>
      <c r="G355" s="80" t="s">
        <v>654</v>
      </c>
      <c r="H355" s="81">
        <v>66798</v>
      </c>
      <c r="I355" s="82">
        <v>205</v>
      </c>
      <c r="J355" s="98"/>
      <c r="K355" s="100">
        <v>0</v>
      </c>
      <c r="L355" s="105" cm="1">
        <f t="array" ref="L355">WORKDAY(M355,-20)</f>
        <v>46171</v>
      </c>
      <c r="M355" s="85">
        <v>46199</v>
      </c>
      <c r="N355" s="86" cm="1">
        <f t="array" ref="N355">WORKDAY(M355,10)</f>
        <v>46213</v>
      </c>
      <c r="O355" s="87">
        <v>0</v>
      </c>
      <c r="P355" s="88">
        <v>0</v>
      </c>
      <c r="Q355" s="89">
        <v>46167</v>
      </c>
      <c r="R355" s="96">
        <v>46195</v>
      </c>
      <c r="S355" s="86" cm="1">
        <f t="array" ref="S355">WORKDAY(R355,10)</f>
        <v>46209</v>
      </c>
      <c r="T355" s="87">
        <v>0</v>
      </c>
      <c r="U355" s="91" t="s">
        <v>105</v>
      </c>
      <c r="V355" s="92">
        <v>0</v>
      </c>
      <c r="W355" s="93" cm="1">
        <f t="array" ref="W355">WORKDAY(X355,-20)</f>
        <v>46268</v>
      </c>
      <c r="X355" s="90">
        <v>46296</v>
      </c>
      <c r="Y355" s="88">
        <v>0</v>
      </c>
      <c r="Z355" s="93">
        <v>46323</v>
      </c>
      <c r="AA355" s="90">
        <v>46365</v>
      </c>
      <c r="AB355" s="88">
        <v>0</v>
      </c>
      <c r="AC355" s="79" t="s">
        <v>49</v>
      </c>
      <c r="AD355" s="79" t="s">
        <v>49</v>
      </c>
      <c r="AE355" s="90"/>
      <c r="AF355" s="88">
        <v>0</v>
      </c>
      <c r="AG355" s="93" cm="1">
        <f t="array" ref="AG355">WORKDAY(AA355,2)</f>
        <v>46367</v>
      </c>
      <c r="AH355" s="90" cm="1">
        <f t="array" ref="AH355">WORKDAY(AG355,1)</f>
        <v>46370</v>
      </c>
      <c r="AI355" s="86" cm="1">
        <f t="array" ref="AI355">WORKDAY(AH355,1)</f>
        <v>46371</v>
      </c>
      <c r="AJ355" s="145"/>
      <c r="AK355" s="56"/>
    </row>
    <row r="356" spans="1:37" ht="25.5" customHeight="1">
      <c r="A356" s="140" cm="1">
        <f t="array" ref="A356">A355+1</f>
        <v>341</v>
      </c>
      <c r="B356" s="79" t="s">
        <v>723</v>
      </c>
      <c r="C356" s="95">
        <v>3</v>
      </c>
      <c r="D356" s="79" t="s">
        <v>680</v>
      </c>
      <c r="E356" s="79" t="s">
        <v>724</v>
      </c>
      <c r="F356" s="79"/>
      <c r="G356" s="80" t="s">
        <v>654</v>
      </c>
      <c r="H356" s="81">
        <v>66798</v>
      </c>
      <c r="I356" s="82">
        <v>206</v>
      </c>
      <c r="J356" s="98"/>
      <c r="K356" s="100">
        <v>0</v>
      </c>
      <c r="L356" s="105" cm="1">
        <f t="array" ref="L356">WORKDAY(M356,-20)</f>
        <v>46171</v>
      </c>
      <c r="M356" s="85">
        <v>46199</v>
      </c>
      <c r="N356" s="86" cm="1">
        <f t="array" ref="N356">WORKDAY(M356,10)</f>
        <v>46213</v>
      </c>
      <c r="O356" s="87">
        <v>0</v>
      </c>
      <c r="P356" s="88">
        <v>0</v>
      </c>
      <c r="Q356" s="89">
        <v>46167</v>
      </c>
      <c r="R356" s="96">
        <v>46195</v>
      </c>
      <c r="S356" s="86" cm="1">
        <f t="array" ref="S356">WORKDAY(R356,10)</f>
        <v>46209</v>
      </c>
      <c r="T356" s="87">
        <v>0</v>
      </c>
      <c r="U356" s="91" t="s">
        <v>105</v>
      </c>
      <c r="V356" s="92">
        <v>0</v>
      </c>
      <c r="W356" s="93" cm="1">
        <f t="array" ref="W356">WORKDAY(X356,-20)</f>
        <v>46268</v>
      </c>
      <c r="X356" s="90">
        <v>46296</v>
      </c>
      <c r="Y356" s="88">
        <v>0</v>
      </c>
      <c r="Z356" s="93">
        <v>46324</v>
      </c>
      <c r="AA356" s="90">
        <v>46366</v>
      </c>
      <c r="AB356" s="88">
        <v>0</v>
      </c>
      <c r="AC356" s="79" t="s">
        <v>49</v>
      </c>
      <c r="AD356" s="79" t="s">
        <v>49</v>
      </c>
      <c r="AE356" s="90"/>
      <c r="AF356" s="88">
        <v>0</v>
      </c>
      <c r="AG356" s="93" cm="1">
        <f t="array" ref="AG356">WORKDAY(AA356,2)</f>
        <v>46370</v>
      </c>
      <c r="AH356" s="90" cm="1">
        <f t="array" ref="AH356">WORKDAY(AG356,1)</f>
        <v>46371</v>
      </c>
      <c r="AI356" s="86" cm="1">
        <f t="array" ref="AI356">WORKDAY(AH356,1)</f>
        <v>46372</v>
      </c>
      <c r="AJ356" s="145"/>
      <c r="AK356" s="56"/>
    </row>
    <row r="357" spans="1:37" ht="25.5" customHeight="1">
      <c r="A357" s="140" cm="1">
        <f t="array" ref="A357">A356+1</f>
        <v>342</v>
      </c>
      <c r="B357" s="79" t="s">
        <v>725</v>
      </c>
      <c r="C357" s="95">
        <v>3</v>
      </c>
      <c r="D357" s="79" t="s">
        <v>680</v>
      </c>
      <c r="E357" s="79" t="s">
        <v>726</v>
      </c>
      <c r="F357" s="79"/>
      <c r="G357" s="80" t="s">
        <v>654</v>
      </c>
      <c r="H357" s="81">
        <v>66798</v>
      </c>
      <c r="I357" s="82">
        <v>207</v>
      </c>
      <c r="J357" s="98"/>
      <c r="K357" s="100">
        <v>0</v>
      </c>
      <c r="L357" s="105" cm="1">
        <f t="array" ref="L357">WORKDAY(M357,-20)</f>
        <v>46171</v>
      </c>
      <c r="M357" s="85">
        <v>46199</v>
      </c>
      <c r="N357" s="86" cm="1">
        <f t="array" ref="N357">WORKDAY(M357,10)</f>
        <v>46213</v>
      </c>
      <c r="O357" s="87">
        <v>0</v>
      </c>
      <c r="P357" s="88">
        <v>0</v>
      </c>
      <c r="Q357" s="89">
        <v>46167</v>
      </c>
      <c r="R357" s="96">
        <v>46195</v>
      </c>
      <c r="S357" s="86" cm="1">
        <f t="array" ref="S357">WORKDAY(R357,10)</f>
        <v>46209</v>
      </c>
      <c r="T357" s="87">
        <v>0</v>
      </c>
      <c r="U357" s="91" t="s">
        <v>105</v>
      </c>
      <c r="V357" s="92">
        <v>0</v>
      </c>
      <c r="W357" s="93" cm="1">
        <f t="array" ref="W357">WORKDAY(X357,-20)</f>
        <v>46269</v>
      </c>
      <c r="X357" s="90">
        <v>46297</v>
      </c>
      <c r="Y357" s="88">
        <v>0</v>
      </c>
      <c r="Z357" s="93">
        <v>46324</v>
      </c>
      <c r="AA357" s="90">
        <v>46366</v>
      </c>
      <c r="AB357" s="88">
        <v>0</v>
      </c>
      <c r="AC357" s="79" t="s">
        <v>49</v>
      </c>
      <c r="AD357" s="79" t="s">
        <v>49</v>
      </c>
      <c r="AE357" s="90"/>
      <c r="AF357" s="88">
        <v>0</v>
      </c>
      <c r="AG357" s="93" cm="1">
        <f t="array" ref="AG357">WORKDAY(AA357,2)</f>
        <v>46370</v>
      </c>
      <c r="AH357" s="90" cm="1">
        <f t="array" ref="AH357">WORKDAY(AG357,1)</f>
        <v>46371</v>
      </c>
      <c r="AI357" s="86" cm="1">
        <f t="array" ref="AI357">WORKDAY(AH357,1)</f>
        <v>46372</v>
      </c>
      <c r="AJ357" s="145"/>
      <c r="AK357" s="56"/>
    </row>
    <row r="358" spans="1:37" ht="25.5" customHeight="1">
      <c r="A358" s="140" cm="1">
        <f t="array" ref="A358">A357+1</f>
        <v>343</v>
      </c>
      <c r="B358" s="79" t="s">
        <v>727</v>
      </c>
      <c r="C358" s="95">
        <v>3</v>
      </c>
      <c r="D358" s="79" t="s">
        <v>680</v>
      </c>
      <c r="E358" s="79" t="s">
        <v>728</v>
      </c>
      <c r="F358" s="79"/>
      <c r="G358" s="80" t="s">
        <v>654</v>
      </c>
      <c r="H358" s="81">
        <v>66798</v>
      </c>
      <c r="I358" s="82">
        <v>208</v>
      </c>
      <c r="J358" s="98"/>
      <c r="K358" s="100">
        <v>0</v>
      </c>
      <c r="L358" s="105" cm="1">
        <f t="array" ref="L358">WORKDAY(M358,-20)</f>
        <v>46171</v>
      </c>
      <c r="M358" s="85">
        <v>46199</v>
      </c>
      <c r="N358" s="86" cm="1">
        <f t="array" ref="N358">WORKDAY(M358,10)</f>
        <v>46213</v>
      </c>
      <c r="O358" s="87">
        <v>0</v>
      </c>
      <c r="P358" s="88">
        <v>0</v>
      </c>
      <c r="Q358" s="89">
        <v>46167</v>
      </c>
      <c r="R358" s="96">
        <v>46195</v>
      </c>
      <c r="S358" s="86" cm="1">
        <f t="array" ref="S358">WORKDAY(R358,10)</f>
        <v>46209</v>
      </c>
      <c r="T358" s="87">
        <v>0</v>
      </c>
      <c r="U358" s="91" t="s">
        <v>105</v>
      </c>
      <c r="V358" s="92">
        <v>0</v>
      </c>
      <c r="W358" s="93" cm="1">
        <f t="array" ref="W358">WORKDAY(X358,-20)</f>
        <v>46269</v>
      </c>
      <c r="X358" s="90">
        <v>46297</v>
      </c>
      <c r="Y358" s="88">
        <v>0</v>
      </c>
      <c r="Z358" s="93">
        <v>46324</v>
      </c>
      <c r="AA358" s="90">
        <v>46366</v>
      </c>
      <c r="AB358" s="88">
        <v>0</v>
      </c>
      <c r="AC358" s="79" t="s">
        <v>49</v>
      </c>
      <c r="AD358" s="79" t="s">
        <v>49</v>
      </c>
      <c r="AE358" s="90"/>
      <c r="AF358" s="88">
        <v>0</v>
      </c>
      <c r="AG358" s="93" cm="1">
        <f t="array" ref="AG358">WORKDAY(AA358,2)</f>
        <v>46370</v>
      </c>
      <c r="AH358" s="90" cm="1">
        <f t="array" ref="AH358">WORKDAY(AG358,1)</f>
        <v>46371</v>
      </c>
      <c r="AI358" s="86" cm="1">
        <f t="array" ref="AI358">WORKDAY(AH358,1)</f>
        <v>46372</v>
      </c>
      <c r="AJ358" s="145"/>
      <c r="AK358" s="56"/>
    </row>
    <row r="359" spans="1:37" ht="25.5" customHeight="1">
      <c r="A359" s="140" cm="1">
        <f t="array" ref="A359">A358+1</f>
        <v>344</v>
      </c>
      <c r="B359" s="79" t="s">
        <v>729</v>
      </c>
      <c r="C359" s="95">
        <v>3</v>
      </c>
      <c r="D359" s="79" t="s">
        <v>730</v>
      </c>
      <c r="E359" s="79" t="s">
        <v>731</v>
      </c>
      <c r="F359" s="79"/>
      <c r="G359" s="80" t="s">
        <v>654</v>
      </c>
      <c r="H359" s="81">
        <v>66798</v>
      </c>
      <c r="I359" s="82">
        <v>209</v>
      </c>
      <c r="J359" s="98"/>
      <c r="K359" s="100">
        <v>0</v>
      </c>
      <c r="L359" s="105" cm="1">
        <f t="array" ref="L359">WORKDAY(M359,-20)</f>
        <v>46171</v>
      </c>
      <c r="M359" s="85">
        <v>46199</v>
      </c>
      <c r="N359" s="86" cm="1">
        <f t="array" ref="N359">WORKDAY(M359,10)</f>
        <v>46213</v>
      </c>
      <c r="O359" s="87">
        <v>0</v>
      </c>
      <c r="P359" s="88">
        <v>0</v>
      </c>
      <c r="Q359" s="89">
        <v>46167</v>
      </c>
      <c r="R359" s="96">
        <v>46195</v>
      </c>
      <c r="S359" s="86" cm="1">
        <f t="array" ref="S359">WORKDAY(R359,10)</f>
        <v>46209</v>
      </c>
      <c r="T359" s="87">
        <v>0</v>
      </c>
      <c r="U359" s="91" t="s">
        <v>105</v>
      </c>
      <c r="V359" s="92">
        <v>0</v>
      </c>
      <c r="W359" s="93" cm="1">
        <f t="array" ref="W359">WORKDAY(X359,-20)</f>
        <v>46269</v>
      </c>
      <c r="X359" s="90">
        <v>46297</v>
      </c>
      <c r="Y359" s="88">
        <v>0</v>
      </c>
      <c r="Z359" s="93">
        <v>46325</v>
      </c>
      <c r="AA359" s="90">
        <v>46367</v>
      </c>
      <c r="AB359" s="88">
        <v>0</v>
      </c>
      <c r="AC359" s="79" t="s">
        <v>49</v>
      </c>
      <c r="AD359" s="79" t="s">
        <v>49</v>
      </c>
      <c r="AE359" s="90"/>
      <c r="AF359" s="88">
        <v>0</v>
      </c>
      <c r="AG359" s="93" cm="1">
        <f t="array" ref="AG359">WORKDAY(AA359,2)</f>
        <v>46371</v>
      </c>
      <c r="AH359" s="90" cm="1">
        <f t="array" ref="AH359">WORKDAY(AG359,1)</f>
        <v>46372</v>
      </c>
      <c r="AI359" s="86" cm="1">
        <f t="array" ref="AI359">WORKDAY(AH359,1)</f>
        <v>46373</v>
      </c>
      <c r="AJ359" s="145"/>
      <c r="AK359" s="56"/>
    </row>
    <row r="360" spans="1:37" ht="25.5" customHeight="1">
      <c r="A360" s="140" cm="1">
        <f t="array" ref="A360">A359+1</f>
        <v>345</v>
      </c>
      <c r="B360" s="79" t="s">
        <v>732</v>
      </c>
      <c r="C360" s="95">
        <v>3</v>
      </c>
      <c r="D360" s="79" t="s">
        <v>733</v>
      </c>
      <c r="E360" s="79" t="s">
        <v>734</v>
      </c>
      <c r="F360" s="79"/>
      <c r="G360" s="80" t="s">
        <v>654</v>
      </c>
      <c r="H360" s="81">
        <v>66798</v>
      </c>
      <c r="I360" s="82">
        <v>210</v>
      </c>
      <c r="J360" s="98"/>
      <c r="K360" s="100">
        <v>0</v>
      </c>
      <c r="L360" s="105" cm="1">
        <f t="array" ref="L360">WORKDAY(M360,-20)</f>
        <v>46171</v>
      </c>
      <c r="M360" s="85">
        <v>46199</v>
      </c>
      <c r="N360" s="86" cm="1">
        <f t="array" ref="N360">WORKDAY(M360,10)</f>
        <v>46213</v>
      </c>
      <c r="O360" s="87">
        <v>0</v>
      </c>
      <c r="P360" s="88">
        <v>0</v>
      </c>
      <c r="Q360" s="89">
        <v>46167</v>
      </c>
      <c r="R360" s="96">
        <v>46195</v>
      </c>
      <c r="S360" s="86" cm="1">
        <f t="array" ref="S360">WORKDAY(R360,10)</f>
        <v>46209</v>
      </c>
      <c r="T360" s="87">
        <v>0</v>
      </c>
      <c r="U360" s="91" t="s">
        <v>105</v>
      </c>
      <c r="V360" s="92">
        <v>0</v>
      </c>
      <c r="W360" s="93" cm="1">
        <f t="array" ref="W360">WORKDAY(X360,-20)</f>
        <v>46272</v>
      </c>
      <c r="X360" s="90">
        <v>46300</v>
      </c>
      <c r="Y360" s="88">
        <v>0</v>
      </c>
      <c r="Z360" s="93">
        <v>46325</v>
      </c>
      <c r="AA360" s="90">
        <v>46367</v>
      </c>
      <c r="AB360" s="88">
        <v>0</v>
      </c>
      <c r="AC360" s="79" t="s">
        <v>49</v>
      </c>
      <c r="AD360" s="79" t="s">
        <v>49</v>
      </c>
      <c r="AE360" s="90"/>
      <c r="AF360" s="88">
        <v>0</v>
      </c>
      <c r="AG360" s="93" cm="1">
        <f t="array" ref="AG360">WORKDAY(AA360,2)</f>
        <v>46371</v>
      </c>
      <c r="AH360" s="90" cm="1">
        <f t="array" ref="AH360">WORKDAY(AG360,1)</f>
        <v>46372</v>
      </c>
      <c r="AI360" s="86" cm="1">
        <f t="array" ref="AI360">WORKDAY(AH360,1)</f>
        <v>46373</v>
      </c>
      <c r="AJ360" s="145"/>
      <c r="AK360" s="56"/>
    </row>
    <row r="361" spans="1:37" ht="25.5" customHeight="1">
      <c r="A361" s="140" cm="1">
        <f t="array" ref="A361">A360+1</f>
        <v>346</v>
      </c>
      <c r="B361" s="79" t="s">
        <v>735</v>
      </c>
      <c r="C361" s="95">
        <v>3</v>
      </c>
      <c r="D361" s="79" t="s">
        <v>733</v>
      </c>
      <c r="E361" s="79" t="s">
        <v>736</v>
      </c>
      <c r="F361" s="79"/>
      <c r="G361" s="80" t="s">
        <v>654</v>
      </c>
      <c r="H361" s="81">
        <v>66798</v>
      </c>
      <c r="I361" s="82">
        <v>211</v>
      </c>
      <c r="J361" s="98"/>
      <c r="K361" s="100">
        <v>0</v>
      </c>
      <c r="L361" s="105" cm="1">
        <f t="array" ref="L361">WORKDAY(M361,-20)</f>
        <v>46171</v>
      </c>
      <c r="M361" s="85">
        <v>46199</v>
      </c>
      <c r="N361" s="86" cm="1">
        <f t="array" ref="N361">WORKDAY(M361,10)</f>
        <v>46213</v>
      </c>
      <c r="O361" s="87">
        <v>0</v>
      </c>
      <c r="P361" s="88">
        <v>0</v>
      </c>
      <c r="Q361" s="89">
        <v>46167</v>
      </c>
      <c r="R361" s="96">
        <v>46195</v>
      </c>
      <c r="S361" s="86" cm="1">
        <f t="array" ref="S361">WORKDAY(R361,10)</f>
        <v>46209</v>
      </c>
      <c r="T361" s="87">
        <v>0</v>
      </c>
      <c r="U361" s="91" t="s">
        <v>105</v>
      </c>
      <c r="V361" s="92">
        <v>0</v>
      </c>
      <c r="W361" s="93" cm="1">
        <f t="array" ref="W361">WORKDAY(X361,-20)</f>
        <v>46272</v>
      </c>
      <c r="X361" s="90">
        <v>46300</v>
      </c>
      <c r="Y361" s="88">
        <v>0</v>
      </c>
      <c r="Z361" s="93">
        <v>46325</v>
      </c>
      <c r="AA361" s="90">
        <v>46367</v>
      </c>
      <c r="AB361" s="88">
        <v>0</v>
      </c>
      <c r="AC361" s="79" t="s">
        <v>49</v>
      </c>
      <c r="AD361" s="79" t="s">
        <v>49</v>
      </c>
      <c r="AE361" s="90"/>
      <c r="AF361" s="88">
        <v>0</v>
      </c>
      <c r="AG361" s="93" cm="1">
        <f t="array" ref="AG361">WORKDAY(AA361,2)</f>
        <v>46371</v>
      </c>
      <c r="AH361" s="90" cm="1">
        <f t="array" ref="AH361">WORKDAY(AG361,1)</f>
        <v>46372</v>
      </c>
      <c r="AI361" s="86" cm="1">
        <f t="array" ref="AI361">WORKDAY(AH361,1)</f>
        <v>46373</v>
      </c>
      <c r="AJ361" s="145"/>
      <c r="AK361" s="56"/>
    </row>
    <row r="362" spans="1:37" ht="25.5" customHeight="1">
      <c r="A362" s="140" cm="1">
        <f t="array" ref="A362">A361+1</f>
        <v>347</v>
      </c>
      <c r="B362" s="79" t="s">
        <v>737</v>
      </c>
      <c r="C362" s="95">
        <v>3</v>
      </c>
      <c r="D362" s="79" t="s">
        <v>733</v>
      </c>
      <c r="E362" s="79" t="s">
        <v>738</v>
      </c>
      <c r="F362" s="79"/>
      <c r="G362" s="80" t="s">
        <v>654</v>
      </c>
      <c r="H362" s="81">
        <v>66798</v>
      </c>
      <c r="I362" s="82">
        <v>212</v>
      </c>
      <c r="J362" s="98"/>
      <c r="K362" s="100">
        <v>0</v>
      </c>
      <c r="L362" s="105" cm="1">
        <f t="array" ref="L362">WORKDAY(M362,-20)</f>
        <v>46171</v>
      </c>
      <c r="M362" s="85">
        <v>46199</v>
      </c>
      <c r="N362" s="86" cm="1">
        <f t="array" ref="N362">WORKDAY(M362,10)</f>
        <v>46213</v>
      </c>
      <c r="O362" s="87">
        <v>0</v>
      </c>
      <c r="P362" s="88">
        <v>0</v>
      </c>
      <c r="Q362" s="89">
        <v>46167</v>
      </c>
      <c r="R362" s="96">
        <v>46195</v>
      </c>
      <c r="S362" s="86" cm="1">
        <f t="array" ref="S362">WORKDAY(R362,10)</f>
        <v>46209</v>
      </c>
      <c r="T362" s="87">
        <v>0</v>
      </c>
      <c r="U362" s="91" t="s">
        <v>105</v>
      </c>
      <c r="V362" s="92">
        <v>0</v>
      </c>
      <c r="W362" s="93" cm="1">
        <f t="array" ref="W362">WORKDAY(X362,-20)</f>
        <v>46272</v>
      </c>
      <c r="X362" s="90">
        <v>46300</v>
      </c>
      <c r="Y362" s="88">
        <v>0</v>
      </c>
      <c r="Z362" s="93">
        <v>46328</v>
      </c>
      <c r="AA362" s="90">
        <v>46370</v>
      </c>
      <c r="AB362" s="88">
        <v>0</v>
      </c>
      <c r="AC362" s="79" t="s">
        <v>49</v>
      </c>
      <c r="AD362" s="79" t="s">
        <v>49</v>
      </c>
      <c r="AE362" s="90"/>
      <c r="AF362" s="88">
        <v>0</v>
      </c>
      <c r="AG362" s="93" cm="1">
        <f t="array" ref="AG362">WORKDAY(AA362,2)</f>
        <v>46372</v>
      </c>
      <c r="AH362" s="90" cm="1">
        <f t="array" ref="AH362">WORKDAY(AG362,1)</f>
        <v>46373</v>
      </c>
      <c r="AI362" s="86" cm="1">
        <f t="array" ref="AI362">WORKDAY(AH362,1)</f>
        <v>46374</v>
      </c>
      <c r="AJ362" s="145"/>
      <c r="AK362" s="56"/>
    </row>
    <row r="363" spans="1:37" ht="25.5" customHeight="1">
      <c r="A363" s="140" cm="1">
        <f t="array" ref="A363">A362+1</f>
        <v>348</v>
      </c>
      <c r="B363" s="79" t="s">
        <v>739</v>
      </c>
      <c r="C363" s="95">
        <v>3</v>
      </c>
      <c r="D363" s="79" t="s">
        <v>733</v>
      </c>
      <c r="E363" s="79" t="s">
        <v>740</v>
      </c>
      <c r="F363" s="79"/>
      <c r="G363" s="80" t="s">
        <v>654</v>
      </c>
      <c r="H363" s="81">
        <v>66798</v>
      </c>
      <c r="I363" s="82">
        <v>213</v>
      </c>
      <c r="J363" s="98"/>
      <c r="K363" s="100">
        <v>0</v>
      </c>
      <c r="L363" s="105" cm="1">
        <f t="array" ref="L363">WORKDAY(M363,-20)</f>
        <v>46171</v>
      </c>
      <c r="M363" s="85">
        <v>46199</v>
      </c>
      <c r="N363" s="86" cm="1">
        <f t="array" ref="N363">WORKDAY(M363,10)</f>
        <v>46213</v>
      </c>
      <c r="O363" s="87">
        <v>0</v>
      </c>
      <c r="P363" s="88">
        <v>0</v>
      </c>
      <c r="Q363" s="89">
        <v>46167</v>
      </c>
      <c r="R363" s="96">
        <v>46195</v>
      </c>
      <c r="S363" s="86" cm="1">
        <f t="array" ref="S363">WORKDAY(R363,10)</f>
        <v>46209</v>
      </c>
      <c r="T363" s="87">
        <v>0</v>
      </c>
      <c r="U363" s="91" t="s">
        <v>105</v>
      </c>
      <c r="V363" s="92">
        <v>0</v>
      </c>
      <c r="W363" s="93" cm="1">
        <f t="array" ref="W363">WORKDAY(X363,-20)</f>
        <v>46273</v>
      </c>
      <c r="X363" s="90">
        <v>46301</v>
      </c>
      <c r="Y363" s="88">
        <v>0</v>
      </c>
      <c r="Z363" s="93">
        <v>46328</v>
      </c>
      <c r="AA363" s="90">
        <v>46370</v>
      </c>
      <c r="AB363" s="88">
        <v>0</v>
      </c>
      <c r="AC363" s="79" t="s">
        <v>49</v>
      </c>
      <c r="AD363" s="79" t="s">
        <v>49</v>
      </c>
      <c r="AE363" s="90"/>
      <c r="AF363" s="88">
        <v>0</v>
      </c>
      <c r="AG363" s="93" cm="1">
        <f t="array" ref="AG363">WORKDAY(AA363,2)</f>
        <v>46372</v>
      </c>
      <c r="AH363" s="90" cm="1">
        <f t="array" ref="AH363">WORKDAY(AG363,1)</f>
        <v>46373</v>
      </c>
      <c r="AI363" s="86" cm="1">
        <f t="array" ref="AI363">WORKDAY(AH363,1)</f>
        <v>46374</v>
      </c>
      <c r="AJ363" s="145"/>
      <c r="AK363" s="56"/>
    </row>
    <row r="364" spans="1:37" ht="25.5" customHeight="1">
      <c r="A364" s="140" cm="1">
        <f t="array" ref="A364">A363+1</f>
        <v>349</v>
      </c>
      <c r="B364" s="79" t="s">
        <v>741</v>
      </c>
      <c r="C364" s="95">
        <v>3</v>
      </c>
      <c r="D364" s="79" t="s">
        <v>733</v>
      </c>
      <c r="E364" s="79" t="s">
        <v>742</v>
      </c>
      <c r="F364" s="79"/>
      <c r="G364" s="80" t="s">
        <v>654</v>
      </c>
      <c r="H364" s="81">
        <v>66798</v>
      </c>
      <c r="I364" s="82">
        <v>214</v>
      </c>
      <c r="J364" s="98"/>
      <c r="K364" s="100">
        <v>0</v>
      </c>
      <c r="L364" s="105" cm="1">
        <f t="array" ref="L364">WORKDAY(M364,-20)</f>
        <v>46171</v>
      </c>
      <c r="M364" s="85">
        <v>46199</v>
      </c>
      <c r="N364" s="86" cm="1">
        <f t="array" ref="N364">WORKDAY(M364,10)</f>
        <v>46213</v>
      </c>
      <c r="O364" s="87">
        <v>0</v>
      </c>
      <c r="P364" s="88">
        <v>0</v>
      </c>
      <c r="Q364" s="89">
        <v>46167</v>
      </c>
      <c r="R364" s="96">
        <v>46195</v>
      </c>
      <c r="S364" s="86" cm="1">
        <f t="array" ref="S364">WORKDAY(R364,10)</f>
        <v>46209</v>
      </c>
      <c r="T364" s="87">
        <v>0</v>
      </c>
      <c r="U364" s="91" t="s">
        <v>105</v>
      </c>
      <c r="V364" s="92">
        <v>0</v>
      </c>
      <c r="W364" s="93" cm="1">
        <f t="array" ref="W364">WORKDAY(X364,-20)</f>
        <v>46273</v>
      </c>
      <c r="X364" s="90">
        <v>46301</v>
      </c>
      <c r="Y364" s="88">
        <v>0</v>
      </c>
      <c r="Z364" s="93">
        <v>46328</v>
      </c>
      <c r="AA364" s="90">
        <v>46370</v>
      </c>
      <c r="AB364" s="88">
        <v>0</v>
      </c>
      <c r="AC364" s="79" t="s">
        <v>49</v>
      </c>
      <c r="AD364" s="79" t="s">
        <v>49</v>
      </c>
      <c r="AE364" s="90"/>
      <c r="AF364" s="88">
        <v>0</v>
      </c>
      <c r="AG364" s="93" cm="1">
        <f t="array" ref="AG364">WORKDAY(AA364,2)</f>
        <v>46372</v>
      </c>
      <c r="AH364" s="90" cm="1">
        <f t="array" ref="AH364">WORKDAY(AG364,1)</f>
        <v>46373</v>
      </c>
      <c r="AI364" s="86" cm="1">
        <f t="array" ref="AI364">WORKDAY(AH364,1)</f>
        <v>46374</v>
      </c>
      <c r="AJ364" s="145"/>
      <c r="AK364" s="56"/>
    </row>
    <row r="365" spans="1:37" ht="25.5" customHeight="1">
      <c r="A365" s="140" cm="1">
        <f t="array" ref="A365">A364+1</f>
        <v>350</v>
      </c>
      <c r="B365" s="79" t="s">
        <v>743</v>
      </c>
      <c r="C365" s="95">
        <v>3</v>
      </c>
      <c r="D365" s="79" t="s">
        <v>733</v>
      </c>
      <c r="E365" s="79" t="s">
        <v>744</v>
      </c>
      <c r="F365" s="79"/>
      <c r="G365" s="80" t="s">
        <v>654</v>
      </c>
      <c r="H365" s="81">
        <v>66798</v>
      </c>
      <c r="I365" s="82">
        <v>215</v>
      </c>
      <c r="J365" s="98"/>
      <c r="K365" s="100">
        <v>0</v>
      </c>
      <c r="L365" s="105" cm="1">
        <f t="array" ref="L365">WORKDAY(M365,-20)</f>
        <v>46171</v>
      </c>
      <c r="M365" s="85">
        <v>46199</v>
      </c>
      <c r="N365" s="86" cm="1">
        <f t="array" ref="N365">WORKDAY(M365,10)</f>
        <v>46213</v>
      </c>
      <c r="O365" s="87">
        <v>0</v>
      </c>
      <c r="P365" s="88">
        <v>0</v>
      </c>
      <c r="Q365" s="89">
        <v>46167</v>
      </c>
      <c r="R365" s="96">
        <v>46195</v>
      </c>
      <c r="S365" s="86" cm="1">
        <f t="array" ref="S365">WORKDAY(R365,10)</f>
        <v>46209</v>
      </c>
      <c r="T365" s="87">
        <v>0</v>
      </c>
      <c r="U365" s="91" t="s">
        <v>105</v>
      </c>
      <c r="V365" s="92">
        <v>0</v>
      </c>
      <c r="W365" s="93" cm="1">
        <f t="array" ref="W365">WORKDAY(X365,-20)</f>
        <v>46273</v>
      </c>
      <c r="X365" s="90">
        <v>46301</v>
      </c>
      <c r="Y365" s="88">
        <v>0</v>
      </c>
      <c r="Z365" s="93">
        <v>46329</v>
      </c>
      <c r="AA365" s="90">
        <v>46371</v>
      </c>
      <c r="AB365" s="88">
        <v>0</v>
      </c>
      <c r="AC365" s="79" t="s">
        <v>49</v>
      </c>
      <c r="AD365" s="79" t="s">
        <v>49</v>
      </c>
      <c r="AE365" s="90"/>
      <c r="AF365" s="88">
        <v>0</v>
      </c>
      <c r="AG365" s="93" cm="1">
        <f t="array" ref="AG365">WORKDAY(AA365,2)</f>
        <v>46373</v>
      </c>
      <c r="AH365" s="90" cm="1">
        <f t="array" ref="AH365">WORKDAY(AG365,1)</f>
        <v>46374</v>
      </c>
      <c r="AI365" s="86" cm="1">
        <f t="array" ref="AI365">WORKDAY(AH365,1)</f>
        <v>46377</v>
      </c>
      <c r="AJ365" s="145"/>
      <c r="AK365" s="56"/>
    </row>
    <row r="366" spans="1:37" ht="25.5" customHeight="1">
      <c r="A366" s="140" cm="1">
        <f t="array" ref="A366">A365+1</f>
        <v>351</v>
      </c>
      <c r="B366" s="79" t="s">
        <v>745</v>
      </c>
      <c r="C366" s="95">
        <v>3</v>
      </c>
      <c r="D366" s="79" t="s">
        <v>746</v>
      </c>
      <c r="E366" s="79" t="s">
        <v>747</v>
      </c>
      <c r="F366" s="79"/>
      <c r="G366" s="80" t="s">
        <v>654</v>
      </c>
      <c r="H366" s="81">
        <v>66798</v>
      </c>
      <c r="I366" s="82">
        <v>216</v>
      </c>
      <c r="J366" s="98"/>
      <c r="K366" s="100">
        <v>0</v>
      </c>
      <c r="L366" s="105" cm="1">
        <f t="array" ref="L366">WORKDAY(M366,-20)</f>
        <v>46171</v>
      </c>
      <c r="M366" s="85">
        <v>46199</v>
      </c>
      <c r="N366" s="86" cm="1">
        <f t="array" ref="N366">WORKDAY(M366,10)</f>
        <v>46213</v>
      </c>
      <c r="O366" s="87">
        <v>0</v>
      </c>
      <c r="P366" s="88">
        <v>0</v>
      </c>
      <c r="Q366" s="89">
        <v>46167</v>
      </c>
      <c r="R366" s="96">
        <v>46195</v>
      </c>
      <c r="S366" s="86" cm="1">
        <f t="array" ref="S366">WORKDAY(R366,10)</f>
        <v>46209</v>
      </c>
      <c r="T366" s="87">
        <v>0</v>
      </c>
      <c r="U366" s="91" t="s">
        <v>105</v>
      </c>
      <c r="V366" s="92">
        <v>0</v>
      </c>
      <c r="W366" s="93" cm="1">
        <f t="array" ref="W366">WORKDAY(X366,-20)</f>
        <v>46274</v>
      </c>
      <c r="X366" s="90">
        <v>46302</v>
      </c>
      <c r="Y366" s="88">
        <v>0</v>
      </c>
      <c r="Z366" s="93">
        <v>46329</v>
      </c>
      <c r="AA366" s="90">
        <v>46371</v>
      </c>
      <c r="AB366" s="88">
        <v>0</v>
      </c>
      <c r="AC366" s="79" t="s">
        <v>49</v>
      </c>
      <c r="AD366" s="79" t="s">
        <v>49</v>
      </c>
      <c r="AE366" s="90"/>
      <c r="AF366" s="88">
        <v>0</v>
      </c>
      <c r="AG366" s="93" cm="1">
        <f t="array" ref="AG366">WORKDAY(AA366,2)</f>
        <v>46373</v>
      </c>
      <c r="AH366" s="90" cm="1">
        <f t="array" ref="AH366">WORKDAY(AG366,1)</f>
        <v>46374</v>
      </c>
      <c r="AI366" s="86" cm="1">
        <f t="array" ref="AI366">WORKDAY(AH366,1)</f>
        <v>46377</v>
      </c>
      <c r="AJ366" s="145"/>
      <c r="AK366" s="56"/>
    </row>
    <row r="367" spans="1:37" ht="25.5" customHeight="1">
      <c r="A367" s="140" cm="1">
        <f t="array" ref="A367">A366+1</f>
        <v>352</v>
      </c>
      <c r="B367" s="79" t="s">
        <v>748</v>
      </c>
      <c r="C367" s="95">
        <v>3</v>
      </c>
      <c r="D367" s="79" t="s">
        <v>749</v>
      </c>
      <c r="E367" s="79" t="s">
        <v>750</v>
      </c>
      <c r="F367" s="79"/>
      <c r="G367" s="80" t="s">
        <v>654</v>
      </c>
      <c r="H367" s="81">
        <v>66798</v>
      </c>
      <c r="I367" s="82">
        <v>217</v>
      </c>
      <c r="J367" s="98"/>
      <c r="K367" s="100">
        <v>0</v>
      </c>
      <c r="L367" s="105" cm="1">
        <f t="array" ref="L367">WORKDAY(M367,-20)</f>
        <v>46171</v>
      </c>
      <c r="M367" s="85">
        <v>46199</v>
      </c>
      <c r="N367" s="86" cm="1">
        <f t="array" ref="N367">WORKDAY(M367,10)</f>
        <v>46213</v>
      </c>
      <c r="O367" s="87">
        <v>0</v>
      </c>
      <c r="P367" s="88">
        <v>0</v>
      </c>
      <c r="Q367" s="89">
        <v>46167</v>
      </c>
      <c r="R367" s="96">
        <v>46195</v>
      </c>
      <c r="S367" s="86" cm="1">
        <f t="array" ref="S367">WORKDAY(R367,10)</f>
        <v>46209</v>
      </c>
      <c r="T367" s="87">
        <v>0</v>
      </c>
      <c r="U367" s="91" t="s">
        <v>105</v>
      </c>
      <c r="V367" s="92">
        <v>0</v>
      </c>
      <c r="W367" s="93" cm="1">
        <f t="array" ref="W367">WORKDAY(X367,-20)</f>
        <v>46274</v>
      </c>
      <c r="X367" s="90">
        <v>46302</v>
      </c>
      <c r="Y367" s="88">
        <v>0</v>
      </c>
      <c r="Z367" s="93">
        <v>46329</v>
      </c>
      <c r="AA367" s="90">
        <v>46371</v>
      </c>
      <c r="AB367" s="88">
        <v>0</v>
      </c>
      <c r="AC367" s="79" t="s">
        <v>49</v>
      </c>
      <c r="AD367" s="79" t="s">
        <v>49</v>
      </c>
      <c r="AE367" s="90"/>
      <c r="AF367" s="88">
        <v>0</v>
      </c>
      <c r="AG367" s="93" cm="1">
        <f t="array" ref="AG367">WORKDAY(AA367,2)</f>
        <v>46373</v>
      </c>
      <c r="AH367" s="90" cm="1">
        <f t="array" ref="AH367">WORKDAY(AG367,1)</f>
        <v>46374</v>
      </c>
      <c r="AI367" s="86" cm="1">
        <f t="array" ref="AI367">WORKDAY(AH367,1)</f>
        <v>46377</v>
      </c>
      <c r="AJ367" s="145"/>
      <c r="AK367" s="56"/>
    </row>
    <row r="368" spans="1:37" ht="25.5" customHeight="1">
      <c r="A368" s="140" cm="1">
        <f t="array" ref="A368">A367+1</f>
        <v>353</v>
      </c>
      <c r="B368" s="79" t="s">
        <v>751</v>
      </c>
      <c r="C368" s="95">
        <v>3</v>
      </c>
      <c r="D368" s="79" t="s">
        <v>749</v>
      </c>
      <c r="E368" s="79" t="s">
        <v>752</v>
      </c>
      <c r="F368" s="79"/>
      <c r="G368" s="80" t="s">
        <v>654</v>
      </c>
      <c r="H368" s="81">
        <v>66798</v>
      </c>
      <c r="I368" s="82">
        <v>218</v>
      </c>
      <c r="J368" s="98"/>
      <c r="K368" s="100">
        <v>0</v>
      </c>
      <c r="L368" s="105" cm="1">
        <f t="array" ref="L368">WORKDAY(M368,-20)</f>
        <v>46171</v>
      </c>
      <c r="M368" s="85">
        <v>46199</v>
      </c>
      <c r="N368" s="86" cm="1">
        <f t="array" ref="N368">WORKDAY(M368,10)</f>
        <v>46213</v>
      </c>
      <c r="O368" s="87">
        <v>0</v>
      </c>
      <c r="P368" s="88">
        <v>0</v>
      </c>
      <c r="Q368" s="89">
        <v>46167</v>
      </c>
      <c r="R368" s="96">
        <v>46195</v>
      </c>
      <c r="S368" s="86" cm="1">
        <f t="array" ref="S368">WORKDAY(R368,10)</f>
        <v>46209</v>
      </c>
      <c r="T368" s="87">
        <v>0</v>
      </c>
      <c r="U368" s="91" t="s">
        <v>105</v>
      </c>
      <c r="V368" s="92">
        <v>0</v>
      </c>
      <c r="W368" s="93" cm="1">
        <f t="array" ref="W368">WORKDAY(X368,-20)</f>
        <v>46274</v>
      </c>
      <c r="X368" s="90">
        <v>46302</v>
      </c>
      <c r="Y368" s="88">
        <v>0</v>
      </c>
      <c r="Z368" s="93">
        <v>46330</v>
      </c>
      <c r="AA368" s="90">
        <v>46372</v>
      </c>
      <c r="AB368" s="88">
        <v>0</v>
      </c>
      <c r="AC368" s="79" t="s">
        <v>49</v>
      </c>
      <c r="AD368" s="79" t="s">
        <v>49</v>
      </c>
      <c r="AE368" s="90"/>
      <c r="AF368" s="88">
        <v>0</v>
      </c>
      <c r="AG368" s="93" cm="1">
        <f t="array" ref="AG368">WORKDAY(AA368,2)</f>
        <v>46374</v>
      </c>
      <c r="AH368" s="90" cm="1">
        <f t="array" ref="AH368">WORKDAY(AG368,1)</f>
        <v>46377</v>
      </c>
      <c r="AI368" s="86" cm="1">
        <f t="array" ref="AI368">WORKDAY(AH368,1)</f>
        <v>46378</v>
      </c>
      <c r="AJ368" s="145"/>
      <c r="AK368" s="56"/>
    </row>
    <row r="369" spans="1:37" ht="25.5" customHeight="1">
      <c r="A369" s="140" cm="1">
        <f t="array" ref="A369">A368+1</f>
        <v>354</v>
      </c>
      <c r="B369" s="79" t="s">
        <v>753</v>
      </c>
      <c r="C369" s="95">
        <v>3</v>
      </c>
      <c r="D369" s="79" t="s">
        <v>749</v>
      </c>
      <c r="E369" s="79" t="s">
        <v>754</v>
      </c>
      <c r="F369" s="79"/>
      <c r="G369" s="80" t="s">
        <v>654</v>
      </c>
      <c r="H369" s="81">
        <v>66798</v>
      </c>
      <c r="I369" s="82">
        <v>219</v>
      </c>
      <c r="J369" s="98"/>
      <c r="K369" s="100">
        <v>0</v>
      </c>
      <c r="L369" s="105" cm="1">
        <f t="array" ref="L369">WORKDAY(M369,-20)</f>
        <v>46171</v>
      </c>
      <c r="M369" s="85">
        <v>46199</v>
      </c>
      <c r="N369" s="86" cm="1">
        <f t="array" ref="N369">WORKDAY(M369,10)</f>
        <v>46213</v>
      </c>
      <c r="O369" s="87">
        <v>0</v>
      </c>
      <c r="P369" s="88">
        <v>0</v>
      </c>
      <c r="Q369" s="89">
        <v>46167</v>
      </c>
      <c r="R369" s="96">
        <v>46195</v>
      </c>
      <c r="S369" s="86" cm="1">
        <f t="array" ref="S369">WORKDAY(R369,10)</f>
        <v>46209</v>
      </c>
      <c r="T369" s="87">
        <v>0</v>
      </c>
      <c r="U369" s="91" t="s">
        <v>105</v>
      </c>
      <c r="V369" s="92">
        <v>0</v>
      </c>
      <c r="W369" s="93" cm="1">
        <f t="array" ref="W369">WORKDAY(X369,-20)</f>
        <v>46275</v>
      </c>
      <c r="X369" s="90">
        <v>46303</v>
      </c>
      <c r="Y369" s="88">
        <v>0</v>
      </c>
      <c r="Z369" s="93">
        <v>46330</v>
      </c>
      <c r="AA369" s="90">
        <v>46372</v>
      </c>
      <c r="AB369" s="88">
        <v>0</v>
      </c>
      <c r="AC369" s="79" t="s">
        <v>49</v>
      </c>
      <c r="AD369" s="79" t="s">
        <v>49</v>
      </c>
      <c r="AE369" s="90"/>
      <c r="AF369" s="88">
        <v>0</v>
      </c>
      <c r="AG369" s="93" cm="1">
        <f t="array" ref="AG369">WORKDAY(AA369,2)</f>
        <v>46374</v>
      </c>
      <c r="AH369" s="90" cm="1">
        <f t="array" ref="AH369">WORKDAY(AG369,1)</f>
        <v>46377</v>
      </c>
      <c r="AI369" s="86" cm="1">
        <f t="array" ref="AI369">WORKDAY(AH369,1)</f>
        <v>46378</v>
      </c>
      <c r="AJ369" s="145"/>
      <c r="AK369" s="56"/>
    </row>
    <row r="370" spans="1:37" ht="25.5" customHeight="1">
      <c r="A370" s="140" cm="1">
        <f t="array" ref="A370">A369+1</f>
        <v>355</v>
      </c>
      <c r="B370" s="79" t="s">
        <v>755</v>
      </c>
      <c r="C370" s="95">
        <v>3</v>
      </c>
      <c r="D370" s="79" t="s">
        <v>749</v>
      </c>
      <c r="E370" s="79" t="s">
        <v>756</v>
      </c>
      <c r="F370" s="79"/>
      <c r="G370" s="80" t="s">
        <v>654</v>
      </c>
      <c r="H370" s="81">
        <v>66798</v>
      </c>
      <c r="I370" s="82">
        <v>220</v>
      </c>
      <c r="J370" s="98"/>
      <c r="K370" s="100">
        <v>0</v>
      </c>
      <c r="L370" s="105" cm="1">
        <f t="array" ref="L370">WORKDAY(M370,-20)</f>
        <v>46171</v>
      </c>
      <c r="M370" s="85">
        <v>46199</v>
      </c>
      <c r="N370" s="86" cm="1">
        <f t="array" ref="N370">WORKDAY(M370,10)</f>
        <v>46213</v>
      </c>
      <c r="O370" s="87">
        <v>0</v>
      </c>
      <c r="P370" s="88">
        <v>0</v>
      </c>
      <c r="Q370" s="89">
        <v>46167</v>
      </c>
      <c r="R370" s="96">
        <v>46195</v>
      </c>
      <c r="S370" s="86" cm="1">
        <f t="array" ref="S370">WORKDAY(R370,10)</f>
        <v>46209</v>
      </c>
      <c r="T370" s="87">
        <v>0</v>
      </c>
      <c r="U370" s="91" t="s">
        <v>105</v>
      </c>
      <c r="V370" s="92">
        <v>0</v>
      </c>
      <c r="W370" s="93" cm="1">
        <f t="array" ref="W370">WORKDAY(X370,-20)</f>
        <v>46275</v>
      </c>
      <c r="X370" s="90">
        <v>46303</v>
      </c>
      <c r="Y370" s="88">
        <v>0</v>
      </c>
      <c r="Z370" s="93">
        <v>46330</v>
      </c>
      <c r="AA370" s="90">
        <v>46372</v>
      </c>
      <c r="AB370" s="88">
        <v>0</v>
      </c>
      <c r="AC370" s="79" t="s">
        <v>49</v>
      </c>
      <c r="AD370" s="79" t="s">
        <v>49</v>
      </c>
      <c r="AE370" s="90"/>
      <c r="AF370" s="88">
        <v>0</v>
      </c>
      <c r="AG370" s="93" cm="1">
        <f t="array" ref="AG370">WORKDAY(AA370,2)</f>
        <v>46374</v>
      </c>
      <c r="AH370" s="90" cm="1">
        <f t="array" ref="AH370">WORKDAY(AG370,1)</f>
        <v>46377</v>
      </c>
      <c r="AI370" s="86" cm="1">
        <f t="array" ref="AI370">WORKDAY(AH370,1)</f>
        <v>46378</v>
      </c>
      <c r="AJ370" s="145"/>
      <c r="AK370" s="56"/>
    </row>
    <row r="371" spans="1:37" ht="25.5" customHeight="1">
      <c r="A371" s="140" cm="1">
        <f t="array" ref="A371">A370+1</f>
        <v>356</v>
      </c>
      <c r="B371" s="79" t="s">
        <v>757</v>
      </c>
      <c r="C371" s="95">
        <v>3</v>
      </c>
      <c r="D371" s="79" t="s">
        <v>749</v>
      </c>
      <c r="E371" s="79" t="s">
        <v>758</v>
      </c>
      <c r="F371" s="79"/>
      <c r="G371" s="80" t="s">
        <v>654</v>
      </c>
      <c r="H371" s="81">
        <v>66798</v>
      </c>
      <c r="I371" s="82">
        <v>221</v>
      </c>
      <c r="J371" s="98"/>
      <c r="K371" s="100">
        <v>0</v>
      </c>
      <c r="L371" s="105" cm="1">
        <f t="array" ref="L371">WORKDAY(M371,-20)</f>
        <v>46171</v>
      </c>
      <c r="M371" s="85">
        <v>46199</v>
      </c>
      <c r="N371" s="86" cm="1">
        <f t="array" ref="N371">WORKDAY(M371,10)</f>
        <v>46213</v>
      </c>
      <c r="O371" s="87">
        <v>0</v>
      </c>
      <c r="P371" s="88">
        <v>0</v>
      </c>
      <c r="Q371" s="89">
        <v>46167</v>
      </c>
      <c r="R371" s="96">
        <v>46195</v>
      </c>
      <c r="S371" s="86" cm="1">
        <f t="array" ref="S371">WORKDAY(R371,10)</f>
        <v>46209</v>
      </c>
      <c r="T371" s="87">
        <v>0</v>
      </c>
      <c r="U371" s="91" t="s">
        <v>105</v>
      </c>
      <c r="V371" s="92">
        <v>0</v>
      </c>
      <c r="W371" s="93" cm="1">
        <f t="array" ref="W371">WORKDAY(X371,-20)</f>
        <v>46275</v>
      </c>
      <c r="X371" s="90">
        <v>46303</v>
      </c>
      <c r="Y371" s="88">
        <v>0</v>
      </c>
      <c r="Z371" s="93">
        <v>46331</v>
      </c>
      <c r="AA371" s="90">
        <v>46373</v>
      </c>
      <c r="AB371" s="88">
        <v>0</v>
      </c>
      <c r="AC371" s="79" t="s">
        <v>49</v>
      </c>
      <c r="AD371" s="79" t="s">
        <v>49</v>
      </c>
      <c r="AE371" s="90"/>
      <c r="AF371" s="88">
        <v>0</v>
      </c>
      <c r="AG371" s="93" cm="1">
        <f t="array" ref="AG371">WORKDAY(AA371,2)</f>
        <v>46377</v>
      </c>
      <c r="AH371" s="90" cm="1">
        <f t="array" ref="AH371">WORKDAY(AG371,1)</f>
        <v>46378</v>
      </c>
      <c r="AI371" s="86" cm="1">
        <f t="array" ref="AI371">WORKDAY(AH371,1)</f>
        <v>46379</v>
      </c>
      <c r="AJ371" s="145"/>
      <c r="AK371" s="56"/>
    </row>
    <row r="372" spans="1:37" ht="25.5" customHeight="1">
      <c r="A372" s="140" cm="1">
        <f t="array" ref="A372">A371+1</f>
        <v>357</v>
      </c>
      <c r="B372" s="79" t="s">
        <v>759</v>
      </c>
      <c r="C372" s="95">
        <v>3</v>
      </c>
      <c r="D372" s="79" t="s">
        <v>749</v>
      </c>
      <c r="E372" s="79" t="s">
        <v>760</v>
      </c>
      <c r="F372" s="79"/>
      <c r="G372" s="80" t="s">
        <v>654</v>
      </c>
      <c r="H372" s="81">
        <v>66798</v>
      </c>
      <c r="I372" s="82">
        <v>222</v>
      </c>
      <c r="J372" s="98"/>
      <c r="K372" s="100">
        <v>0</v>
      </c>
      <c r="L372" s="105" cm="1">
        <f t="array" ref="L372">WORKDAY(M372,-20)</f>
        <v>46171</v>
      </c>
      <c r="M372" s="85">
        <v>46199</v>
      </c>
      <c r="N372" s="86" cm="1">
        <f t="array" ref="N372">WORKDAY(M372,10)</f>
        <v>46213</v>
      </c>
      <c r="O372" s="87">
        <v>0</v>
      </c>
      <c r="P372" s="88">
        <v>0</v>
      </c>
      <c r="Q372" s="89">
        <v>46167</v>
      </c>
      <c r="R372" s="96">
        <v>46195</v>
      </c>
      <c r="S372" s="86" cm="1">
        <f t="array" ref="S372">WORKDAY(R372,10)</f>
        <v>46209</v>
      </c>
      <c r="T372" s="87">
        <v>0</v>
      </c>
      <c r="U372" s="91" t="s">
        <v>105</v>
      </c>
      <c r="V372" s="92">
        <v>0</v>
      </c>
      <c r="W372" s="93" cm="1">
        <f t="array" ref="W372">WORKDAY(X372,-20)</f>
        <v>46276</v>
      </c>
      <c r="X372" s="90">
        <v>46304</v>
      </c>
      <c r="Y372" s="88">
        <v>0</v>
      </c>
      <c r="Z372" s="93">
        <v>46331</v>
      </c>
      <c r="AA372" s="90">
        <v>46373</v>
      </c>
      <c r="AB372" s="88">
        <v>0</v>
      </c>
      <c r="AC372" s="79" t="s">
        <v>49</v>
      </c>
      <c r="AD372" s="79" t="s">
        <v>49</v>
      </c>
      <c r="AE372" s="90"/>
      <c r="AF372" s="88">
        <v>0</v>
      </c>
      <c r="AG372" s="93" cm="1">
        <f t="array" ref="AG372">WORKDAY(AA372,2)</f>
        <v>46377</v>
      </c>
      <c r="AH372" s="90" cm="1">
        <f t="array" ref="AH372">WORKDAY(AG372,1)</f>
        <v>46378</v>
      </c>
      <c r="AI372" s="86" cm="1">
        <f t="array" ref="AI372">WORKDAY(AH372,1)</f>
        <v>46379</v>
      </c>
      <c r="AJ372" s="145"/>
      <c r="AK372" s="56"/>
    </row>
    <row r="373" spans="1:37" ht="25.5" customHeight="1">
      <c r="A373" s="140" cm="1">
        <f t="array" ref="A373">A372+1</f>
        <v>358</v>
      </c>
      <c r="B373" s="79" t="s">
        <v>761</v>
      </c>
      <c r="C373" s="95">
        <v>3</v>
      </c>
      <c r="D373" s="79" t="s">
        <v>730</v>
      </c>
      <c r="E373" s="79" t="s">
        <v>762</v>
      </c>
      <c r="F373" s="79"/>
      <c r="G373" s="80" t="s">
        <v>654</v>
      </c>
      <c r="H373" s="81">
        <v>66798</v>
      </c>
      <c r="I373" s="82">
        <v>223</v>
      </c>
      <c r="J373" s="98"/>
      <c r="K373" s="100">
        <v>0</v>
      </c>
      <c r="L373" s="105" cm="1">
        <f t="array" ref="L373">WORKDAY(M373,-20)</f>
        <v>46171</v>
      </c>
      <c r="M373" s="85">
        <v>46199</v>
      </c>
      <c r="N373" s="86" cm="1">
        <f t="array" ref="N373">WORKDAY(M373,10)</f>
        <v>46213</v>
      </c>
      <c r="O373" s="87">
        <v>0</v>
      </c>
      <c r="P373" s="88">
        <v>0</v>
      </c>
      <c r="Q373" s="89">
        <v>46167</v>
      </c>
      <c r="R373" s="96">
        <v>46195</v>
      </c>
      <c r="S373" s="86" cm="1">
        <f t="array" ref="S373">WORKDAY(R373,10)</f>
        <v>46209</v>
      </c>
      <c r="T373" s="87">
        <v>0</v>
      </c>
      <c r="U373" s="91" t="s">
        <v>105</v>
      </c>
      <c r="V373" s="92">
        <v>0</v>
      </c>
      <c r="W373" s="93" cm="1">
        <f t="array" ref="W373">WORKDAY(X373,-20)</f>
        <v>46276</v>
      </c>
      <c r="X373" s="90">
        <v>46304</v>
      </c>
      <c r="Y373" s="88">
        <v>0</v>
      </c>
      <c r="Z373" s="93">
        <v>46331</v>
      </c>
      <c r="AA373" s="90">
        <v>46373</v>
      </c>
      <c r="AB373" s="88">
        <v>0</v>
      </c>
      <c r="AC373" s="79" t="s">
        <v>49</v>
      </c>
      <c r="AD373" s="79" t="s">
        <v>49</v>
      </c>
      <c r="AE373" s="90"/>
      <c r="AF373" s="88">
        <v>0</v>
      </c>
      <c r="AG373" s="93" cm="1">
        <f t="array" ref="AG373">WORKDAY(AA373,2)</f>
        <v>46377</v>
      </c>
      <c r="AH373" s="90" cm="1">
        <f t="array" ref="AH373">WORKDAY(AG373,1)</f>
        <v>46378</v>
      </c>
      <c r="AI373" s="86" cm="1">
        <f t="array" ref="AI373">WORKDAY(AH373,1)</f>
        <v>46379</v>
      </c>
      <c r="AJ373" s="145"/>
      <c r="AK373" s="56"/>
    </row>
    <row r="374" spans="1:37" ht="25.5" customHeight="1">
      <c r="A374" s="140" cm="1">
        <f t="array" ref="A374">A373+1</f>
        <v>359</v>
      </c>
      <c r="B374" s="79" t="s">
        <v>763</v>
      </c>
      <c r="C374" s="95">
        <v>3</v>
      </c>
      <c r="D374" s="79" t="s">
        <v>733</v>
      </c>
      <c r="E374" s="79" t="s">
        <v>764</v>
      </c>
      <c r="F374" s="79"/>
      <c r="G374" s="80" t="s">
        <v>654</v>
      </c>
      <c r="H374" s="81">
        <v>66798</v>
      </c>
      <c r="I374" s="82">
        <v>224</v>
      </c>
      <c r="J374" s="98"/>
      <c r="K374" s="100">
        <v>0</v>
      </c>
      <c r="L374" s="105" cm="1">
        <f t="array" ref="L374">WORKDAY(M374,-20)</f>
        <v>46171</v>
      </c>
      <c r="M374" s="85">
        <v>46199</v>
      </c>
      <c r="N374" s="86" cm="1">
        <f t="array" ref="N374">WORKDAY(M374,10)</f>
        <v>46213</v>
      </c>
      <c r="O374" s="87">
        <v>0</v>
      </c>
      <c r="P374" s="88">
        <v>0</v>
      </c>
      <c r="Q374" s="89">
        <v>46167</v>
      </c>
      <c r="R374" s="96">
        <v>46195</v>
      </c>
      <c r="S374" s="86" cm="1">
        <f t="array" ref="S374">WORKDAY(R374,10)</f>
        <v>46209</v>
      </c>
      <c r="T374" s="87">
        <v>0</v>
      </c>
      <c r="U374" s="91" t="s">
        <v>105</v>
      </c>
      <c r="V374" s="92">
        <v>0</v>
      </c>
      <c r="W374" s="93" cm="1">
        <f t="array" ref="W374">WORKDAY(X374,-20)</f>
        <v>46276</v>
      </c>
      <c r="X374" s="90">
        <v>46304</v>
      </c>
      <c r="Y374" s="88">
        <v>0</v>
      </c>
      <c r="Z374" s="93">
        <v>46332</v>
      </c>
      <c r="AA374" s="90">
        <v>46374</v>
      </c>
      <c r="AB374" s="88">
        <v>0</v>
      </c>
      <c r="AC374" s="79" t="s">
        <v>49</v>
      </c>
      <c r="AD374" s="79" t="s">
        <v>49</v>
      </c>
      <c r="AE374" s="90"/>
      <c r="AF374" s="88">
        <v>0</v>
      </c>
      <c r="AG374" s="93" cm="1">
        <f t="array" ref="AG374">WORKDAY(AA374,2)</f>
        <v>46378</v>
      </c>
      <c r="AH374" s="90" cm="1">
        <f t="array" ref="AH374">WORKDAY(AG374,1)</f>
        <v>46379</v>
      </c>
      <c r="AI374" s="86" cm="1">
        <f t="array" ref="AI374">WORKDAY(AH374,1)</f>
        <v>46380</v>
      </c>
      <c r="AJ374" s="145"/>
      <c r="AK374" s="56"/>
    </row>
    <row r="375" spans="1:37" ht="25.5" customHeight="1">
      <c r="A375" s="140" cm="1">
        <f t="array" ref="A375">A374+1</f>
        <v>360</v>
      </c>
      <c r="B375" s="79" t="s">
        <v>765</v>
      </c>
      <c r="C375" s="95">
        <v>3</v>
      </c>
      <c r="D375" s="79" t="s">
        <v>733</v>
      </c>
      <c r="E375" s="79" t="s">
        <v>766</v>
      </c>
      <c r="F375" s="79"/>
      <c r="G375" s="80" t="s">
        <v>654</v>
      </c>
      <c r="H375" s="81">
        <v>66798</v>
      </c>
      <c r="I375" s="82">
        <v>225</v>
      </c>
      <c r="J375" s="98"/>
      <c r="K375" s="100">
        <v>0</v>
      </c>
      <c r="L375" s="105" cm="1">
        <f t="array" ref="L375">WORKDAY(M375,-20)</f>
        <v>46171</v>
      </c>
      <c r="M375" s="85">
        <v>46199</v>
      </c>
      <c r="N375" s="86" cm="1">
        <f t="array" ref="N375">WORKDAY(M375,10)</f>
        <v>46213</v>
      </c>
      <c r="O375" s="87">
        <v>0</v>
      </c>
      <c r="P375" s="88">
        <v>0</v>
      </c>
      <c r="Q375" s="89">
        <v>46167</v>
      </c>
      <c r="R375" s="96">
        <v>46195</v>
      </c>
      <c r="S375" s="86" cm="1">
        <f t="array" ref="S375">WORKDAY(R375,10)</f>
        <v>46209</v>
      </c>
      <c r="T375" s="87">
        <v>0</v>
      </c>
      <c r="U375" s="91" t="s">
        <v>105</v>
      </c>
      <c r="V375" s="92">
        <v>0</v>
      </c>
      <c r="W375" s="93" cm="1">
        <f t="array" ref="W375">WORKDAY(X375,-20)</f>
        <v>46279</v>
      </c>
      <c r="X375" s="90">
        <v>46307</v>
      </c>
      <c r="Y375" s="88">
        <v>0</v>
      </c>
      <c r="Z375" s="93">
        <v>46332</v>
      </c>
      <c r="AA375" s="90">
        <v>46374</v>
      </c>
      <c r="AB375" s="88">
        <v>0</v>
      </c>
      <c r="AC375" s="79" t="s">
        <v>49</v>
      </c>
      <c r="AD375" s="79" t="s">
        <v>49</v>
      </c>
      <c r="AE375" s="90"/>
      <c r="AF375" s="88">
        <v>0</v>
      </c>
      <c r="AG375" s="93" cm="1">
        <f t="array" ref="AG375">WORKDAY(AA375,2)</f>
        <v>46378</v>
      </c>
      <c r="AH375" s="90" cm="1">
        <f t="array" ref="AH375">WORKDAY(AG375,1)</f>
        <v>46379</v>
      </c>
      <c r="AI375" s="86" cm="1">
        <f t="array" ref="AI375">WORKDAY(AH375,1)</f>
        <v>46380</v>
      </c>
      <c r="AJ375" s="145"/>
      <c r="AK375" s="56"/>
    </row>
    <row r="376" spans="1:37" ht="25.5" customHeight="1">
      <c r="A376" s="140" cm="1">
        <f t="array" ref="A376">A375+1</f>
        <v>361</v>
      </c>
      <c r="B376" s="79" t="s">
        <v>767</v>
      </c>
      <c r="C376" s="95">
        <v>3</v>
      </c>
      <c r="D376" s="79" t="s">
        <v>733</v>
      </c>
      <c r="E376" s="79" t="s">
        <v>768</v>
      </c>
      <c r="F376" s="79"/>
      <c r="G376" s="80" t="s">
        <v>654</v>
      </c>
      <c r="H376" s="81">
        <v>66798</v>
      </c>
      <c r="I376" s="82">
        <v>226</v>
      </c>
      <c r="J376" s="98"/>
      <c r="K376" s="100">
        <v>0</v>
      </c>
      <c r="L376" s="105" cm="1">
        <f t="array" ref="L376">WORKDAY(M376,-20)</f>
        <v>46171</v>
      </c>
      <c r="M376" s="85">
        <v>46199</v>
      </c>
      <c r="N376" s="86" cm="1">
        <f t="array" ref="N376">WORKDAY(M376,10)</f>
        <v>46213</v>
      </c>
      <c r="O376" s="87">
        <v>0</v>
      </c>
      <c r="P376" s="88">
        <v>0</v>
      </c>
      <c r="Q376" s="89">
        <v>46167</v>
      </c>
      <c r="R376" s="96">
        <v>46195</v>
      </c>
      <c r="S376" s="86" cm="1">
        <f t="array" ref="S376">WORKDAY(R376,10)</f>
        <v>46209</v>
      </c>
      <c r="T376" s="87">
        <v>0</v>
      </c>
      <c r="U376" s="91" t="s">
        <v>105</v>
      </c>
      <c r="V376" s="92">
        <v>0</v>
      </c>
      <c r="W376" s="93" cm="1">
        <f t="array" ref="W376">WORKDAY(X376,-20)</f>
        <v>46279</v>
      </c>
      <c r="X376" s="90">
        <v>46307</v>
      </c>
      <c r="Y376" s="88">
        <v>0</v>
      </c>
      <c r="Z376" s="93">
        <v>46332</v>
      </c>
      <c r="AA376" s="90">
        <v>46374</v>
      </c>
      <c r="AB376" s="88">
        <v>0</v>
      </c>
      <c r="AC376" s="79" t="s">
        <v>49</v>
      </c>
      <c r="AD376" s="79" t="s">
        <v>49</v>
      </c>
      <c r="AE376" s="90"/>
      <c r="AF376" s="88">
        <v>0</v>
      </c>
      <c r="AG376" s="93" cm="1">
        <f t="array" ref="AG376">WORKDAY(AA376,2)</f>
        <v>46378</v>
      </c>
      <c r="AH376" s="90" cm="1">
        <f t="array" ref="AH376">WORKDAY(AG376,1)</f>
        <v>46379</v>
      </c>
      <c r="AI376" s="86" cm="1">
        <f t="array" ref="AI376">WORKDAY(AH376,1)</f>
        <v>46380</v>
      </c>
      <c r="AJ376" s="145"/>
      <c r="AK376" s="56"/>
    </row>
    <row r="377" spans="1:37" ht="25.5" customHeight="1">
      <c r="A377" s="140" cm="1">
        <f t="array" ref="A377">A376+1</f>
        <v>362</v>
      </c>
      <c r="B377" s="79" t="s">
        <v>769</v>
      </c>
      <c r="C377" s="95">
        <v>3</v>
      </c>
      <c r="D377" s="79" t="s">
        <v>733</v>
      </c>
      <c r="E377" s="79" t="s">
        <v>770</v>
      </c>
      <c r="F377" s="79"/>
      <c r="G377" s="80" t="s">
        <v>654</v>
      </c>
      <c r="H377" s="81">
        <v>66798</v>
      </c>
      <c r="I377" s="82">
        <v>227</v>
      </c>
      <c r="J377" s="98"/>
      <c r="K377" s="100">
        <v>0</v>
      </c>
      <c r="L377" s="105" cm="1">
        <f t="array" ref="L377">WORKDAY(M377,-20)</f>
        <v>46171</v>
      </c>
      <c r="M377" s="85">
        <v>46199</v>
      </c>
      <c r="N377" s="86" cm="1">
        <f t="array" ref="N377">WORKDAY(M377,10)</f>
        <v>46213</v>
      </c>
      <c r="O377" s="87">
        <v>0</v>
      </c>
      <c r="P377" s="88">
        <v>0</v>
      </c>
      <c r="Q377" s="89">
        <v>46167</v>
      </c>
      <c r="R377" s="96">
        <v>46195</v>
      </c>
      <c r="S377" s="86" cm="1">
        <f t="array" ref="S377">WORKDAY(R377,10)</f>
        <v>46209</v>
      </c>
      <c r="T377" s="87">
        <v>0</v>
      </c>
      <c r="U377" s="91" t="s">
        <v>105</v>
      </c>
      <c r="V377" s="92">
        <v>0</v>
      </c>
      <c r="W377" s="93" cm="1">
        <f t="array" ref="W377">WORKDAY(X377,-20)</f>
        <v>46279</v>
      </c>
      <c r="X377" s="90">
        <v>46307</v>
      </c>
      <c r="Y377" s="88">
        <v>0</v>
      </c>
      <c r="Z377" s="93">
        <v>46335</v>
      </c>
      <c r="AA377" s="90">
        <v>46377</v>
      </c>
      <c r="AB377" s="88">
        <v>0</v>
      </c>
      <c r="AC377" s="79" t="s">
        <v>49</v>
      </c>
      <c r="AD377" s="79" t="s">
        <v>49</v>
      </c>
      <c r="AE377" s="90"/>
      <c r="AF377" s="88">
        <v>0</v>
      </c>
      <c r="AG377" s="93" cm="1">
        <f t="array" ref="AG377">WORKDAY(AA377,2)</f>
        <v>46379</v>
      </c>
      <c r="AH377" s="90" cm="1">
        <f t="array" ref="AH377">WORKDAY(AG377,1)</f>
        <v>46380</v>
      </c>
      <c r="AI377" s="86" cm="1">
        <f t="array" ref="AI377">WORKDAY(AH377,1)</f>
        <v>46381</v>
      </c>
      <c r="AJ377" s="145"/>
      <c r="AK377" s="56"/>
    </row>
    <row r="378" spans="1:37" ht="25.5" customHeight="1">
      <c r="A378" s="140" cm="1">
        <f t="array" ref="A378">A377+1</f>
        <v>363</v>
      </c>
      <c r="B378" s="79" t="s">
        <v>771</v>
      </c>
      <c r="C378" s="95">
        <v>3</v>
      </c>
      <c r="D378" s="79" t="s">
        <v>733</v>
      </c>
      <c r="E378" s="79" t="s">
        <v>772</v>
      </c>
      <c r="F378" s="79"/>
      <c r="G378" s="80" t="s">
        <v>654</v>
      </c>
      <c r="H378" s="81">
        <v>66798</v>
      </c>
      <c r="I378" s="82">
        <v>228</v>
      </c>
      <c r="J378" s="98"/>
      <c r="K378" s="100">
        <v>0</v>
      </c>
      <c r="L378" s="105" cm="1">
        <f t="array" ref="L378">WORKDAY(M378,-20)</f>
        <v>46171</v>
      </c>
      <c r="M378" s="85">
        <v>46199</v>
      </c>
      <c r="N378" s="86" cm="1">
        <f t="array" ref="N378">WORKDAY(M378,10)</f>
        <v>46213</v>
      </c>
      <c r="O378" s="87">
        <v>0</v>
      </c>
      <c r="P378" s="88">
        <v>0</v>
      </c>
      <c r="Q378" s="89">
        <v>46167</v>
      </c>
      <c r="R378" s="96">
        <v>46195</v>
      </c>
      <c r="S378" s="86" cm="1">
        <f t="array" ref="S378">WORKDAY(R378,10)</f>
        <v>46209</v>
      </c>
      <c r="T378" s="87">
        <v>0</v>
      </c>
      <c r="U378" s="91" t="s">
        <v>105</v>
      </c>
      <c r="V378" s="92">
        <v>0</v>
      </c>
      <c r="W378" s="93" cm="1">
        <f t="array" ref="W378">WORKDAY(X378,-20)</f>
        <v>46280</v>
      </c>
      <c r="X378" s="90">
        <v>46308</v>
      </c>
      <c r="Y378" s="88">
        <v>0</v>
      </c>
      <c r="Z378" s="93">
        <v>46335</v>
      </c>
      <c r="AA378" s="90">
        <v>46377</v>
      </c>
      <c r="AB378" s="88">
        <v>0</v>
      </c>
      <c r="AC378" s="79" t="s">
        <v>49</v>
      </c>
      <c r="AD378" s="79" t="s">
        <v>49</v>
      </c>
      <c r="AE378" s="90"/>
      <c r="AF378" s="88">
        <v>0</v>
      </c>
      <c r="AG378" s="93" cm="1">
        <f t="array" ref="AG378">WORKDAY(AA378,2)</f>
        <v>46379</v>
      </c>
      <c r="AH378" s="90" cm="1">
        <f t="array" ref="AH378">WORKDAY(AG378,1)</f>
        <v>46380</v>
      </c>
      <c r="AI378" s="86" cm="1">
        <f t="array" ref="AI378">WORKDAY(AH378,1)</f>
        <v>46381</v>
      </c>
      <c r="AJ378" s="145"/>
      <c r="AK378" s="56"/>
    </row>
    <row r="379" spans="1:37" ht="25.5" customHeight="1">
      <c r="A379" s="140" cm="1">
        <f t="array" ref="A379">A378+1</f>
        <v>364</v>
      </c>
      <c r="B379" s="79" t="s">
        <v>773</v>
      </c>
      <c r="C379" s="95">
        <v>3</v>
      </c>
      <c r="D379" s="79" t="s">
        <v>733</v>
      </c>
      <c r="E379" s="79" t="s">
        <v>774</v>
      </c>
      <c r="F379" s="79"/>
      <c r="G379" s="80" t="s">
        <v>654</v>
      </c>
      <c r="H379" s="81">
        <v>66798</v>
      </c>
      <c r="I379" s="82">
        <v>229</v>
      </c>
      <c r="J379" s="98"/>
      <c r="K379" s="100">
        <v>0</v>
      </c>
      <c r="L379" s="105" cm="1">
        <f t="array" ref="L379">WORKDAY(M379,-20)</f>
        <v>46171</v>
      </c>
      <c r="M379" s="85">
        <v>46199</v>
      </c>
      <c r="N379" s="86" cm="1">
        <f t="array" ref="N379">WORKDAY(M379,10)</f>
        <v>46213</v>
      </c>
      <c r="O379" s="87">
        <v>0</v>
      </c>
      <c r="P379" s="88">
        <v>0</v>
      </c>
      <c r="Q379" s="89">
        <v>46167</v>
      </c>
      <c r="R379" s="96">
        <v>46195</v>
      </c>
      <c r="S379" s="86" cm="1">
        <f t="array" ref="S379">WORKDAY(R379,10)</f>
        <v>46209</v>
      </c>
      <c r="T379" s="87">
        <v>0</v>
      </c>
      <c r="U379" s="91" t="s">
        <v>105</v>
      </c>
      <c r="V379" s="92">
        <v>0</v>
      </c>
      <c r="W379" s="93" cm="1">
        <f t="array" ref="W379">WORKDAY(X379,-20)</f>
        <v>46280</v>
      </c>
      <c r="X379" s="90">
        <v>46308</v>
      </c>
      <c r="Y379" s="88">
        <v>0</v>
      </c>
      <c r="Z379" s="93">
        <v>46335</v>
      </c>
      <c r="AA379" s="90">
        <v>46377</v>
      </c>
      <c r="AB379" s="88">
        <v>0</v>
      </c>
      <c r="AC379" s="79" t="s">
        <v>49</v>
      </c>
      <c r="AD379" s="79" t="s">
        <v>49</v>
      </c>
      <c r="AE379" s="90"/>
      <c r="AF379" s="88">
        <v>0</v>
      </c>
      <c r="AG379" s="93" cm="1">
        <f t="array" ref="AG379">WORKDAY(AA379,2)</f>
        <v>46379</v>
      </c>
      <c r="AH379" s="90" cm="1">
        <f t="array" ref="AH379">WORKDAY(AG379,1)</f>
        <v>46380</v>
      </c>
      <c r="AI379" s="86" cm="1">
        <f t="array" ref="AI379">WORKDAY(AH379,1)</f>
        <v>46381</v>
      </c>
      <c r="AJ379" s="145"/>
      <c r="AK379" s="56"/>
    </row>
    <row r="380" spans="1:37" ht="25.5" customHeight="1">
      <c r="A380" s="140" cm="1">
        <f t="array" ref="A380">A379+1</f>
        <v>365</v>
      </c>
      <c r="B380" s="79" t="s">
        <v>775</v>
      </c>
      <c r="C380" s="95">
        <v>3</v>
      </c>
      <c r="D380" s="79" t="s">
        <v>733</v>
      </c>
      <c r="E380" s="79" t="s">
        <v>776</v>
      </c>
      <c r="F380" s="79"/>
      <c r="G380" s="80" t="s">
        <v>654</v>
      </c>
      <c r="H380" s="81">
        <v>66798</v>
      </c>
      <c r="I380" s="82">
        <v>230</v>
      </c>
      <c r="J380" s="98"/>
      <c r="K380" s="100">
        <v>0</v>
      </c>
      <c r="L380" s="105" cm="1">
        <f t="array" ref="L380">WORKDAY(M380,-20)</f>
        <v>46171</v>
      </c>
      <c r="M380" s="85">
        <v>46199</v>
      </c>
      <c r="N380" s="86" cm="1">
        <f t="array" ref="N380">WORKDAY(M380,10)</f>
        <v>46213</v>
      </c>
      <c r="O380" s="87">
        <v>0</v>
      </c>
      <c r="P380" s="88">
        <v>0</v>
      </c>
      <c r="Q380" s="89">
        <v>46167</v>
      </c>
      <c r="R380" s="96">
        <v>46195</v>
      </c>
      <c r="S380" s="86" cm="1">
        <f t="array" ref="S380">WORKDAY(R380,10)</f>
        <v>46209</v>
      </c>
      <c r="T380" s="87">
        <v>0</v>
      </c>
      <c r="U380" s="91" t="s">
        <v>105</v>
      </c>
      <c r="V380" s="92">
        <v>0</v>
      </c>
      <c r="W380" s="93" cm="1">
        <f t="array" ref="W380">WORKDAY(X380,-20)</f>
        <v>46280</v>
      </c>
      <c r="X380" s="90">
        <v>46308</v>
      </c>
      <c r="Y380" s="88">
        <v>0</v>
      </c>
      <c r="Z380" s="93">
        <v>46336</v>
      </c>
      <c r="AA380" s="90">
        <v>46378</v>
      </c>
      <c r="AB380" s="88">
        <v>0</v>
      </c>
      <c r="AC380" s="79" t="s">
        <v>49</v>
      </c>
      <c r="AD380" s="79" t="s">
        <v>49</v>
      </c>
      <c r="AE380" s="90"/>
      <c r="AF380" s="88">
        <v>0</v>
      </c>
      <c r="AG380" s="93" cm="1">
        <f t="array" ref="AG380">WORKDAY(AA380,2)</f>
        <v>46380</v>
      </c>
      <c r="AH380" s="90" cm="1">
        <f t="array" ref="AH380">WORKDAY(AG380,1)</f>
        <v>46381</v>
      </c>
      <c r="AI380" s="86" cm="1">
        <f t="array" ref="AI380">WORKDAY(AH380,1)</f>
        <v>46384</v>
      </c>
      <c r="AJ380" s="145"/>
      <c r="AK380" s="56"/>
    </row>
    <row r="381" spans="1:37" ht="25.5" customHeight="1">
      <c r="A381" s="140" cm="1">
        <f t="array" ref="A381">A380+1</f>
        <v>366</v>
      </c>
      <c r="B381" s="79" t="s">
        <v>777</v>
      </c>
      <c r="C381" s="95">
        <v>3</v>
      </c>
      <c r="D381" s="79" t="s">
        <v>733</v>
      </c>
      <c r="E381" s="79" t="s">
        <v>778</v>
      </c>
      <c r="F381" s="79"/>
      <c r="G381" s="80" t="s">
        <v>654</v>
      </c>
      <c r="H381" s="81">
        <v>66798</v>
      </c>
      <c r="I381" s="82">
        <v>231</v>
      </c>
      <c r="J381" s="98"/>
      <c r="K381" s="100">
        <v>0</v>
      </c>
      <c r="L381" s="105" cm="1">
        <f t="array" ref="L381">WORKDAY(M381,-20)</f>
        <v>46171</v>
      </c>
      <c r="M381" s="85">
        <v>46199</v>
      </c>
      <c r="N381" s="86" cm="1">
        <f t="array" ref="N381">WORKDAY(M381,10)</f>
        <v>46213</v>
      </c>
      <c r="O381" s="87">
        <v>0</v>
      </c>
      <c r="P381" s="88">
        <v>0</v>
      </c>
      <c r="Q381" s="89">
        <v>46167</v>
      </c>
      <c r="R381" s="96">
        <v>46195</v>
      </c>
      <c r="S381" s="86" cm="1">
        <f t="array" ref="S381">WORKDAY(R381,10)</f>
        <v>46209</v>
      </c>
      <c r="T381" s="87">
        <v>0</v>
      </c>
      <c r="U381" s="91" t="s">
        <v>105</v>
      </c>
      <c r="V381" s="92">
        <v>0</v>
      </c>
      <c r="W381" s="93" cm="1">
        <f t="array" ref="W381">WORKDAY(X381,-20)</f>
        <v>46281</v>
      </c>
      <c r="X381" s="90">
        <v>46309</v>
      </c>
      <c r="Y381" s="88">
        <v>0</v>
      </c>
      <c r="Z381" s="93">
        <v>46336</v>
      </c>
      <c r="AA381" s="90">
        <v>46378</v>
      </c>
      <c r="AB381" s="88">
        <v>0</v>
      </c>
      <c r="AC381" s="79" t="s">
        <v>49</v>
      </c>
      <c r="AD381" s="79" t="s">
        <v>49</v>
      </c>
      <c r="AE381" s="90"/>
      <c r="AF381" s="88">
        <v>0</v>
      </c>
      <c r="AG381" s="93" cm="1">
        <f t="array" ref="AG381">WORKDAY(AA381,2)</f>
        <v>46380</v>
      </c>
      <c r="AH381" s="90" cm="1">
        <f t="array" ref="AH381">WORKDAY(AG381,1)</f>
        <v>46381</v>
      </c>
      <c r="AI381" s="86" cm="1">
        <f t="array" ref="AI381">WORKDAY(AH381,1)</f>
        <v>46384</v>
      </c>
      <c r="AJ381" s="145"/>
      <c r="AK381" s="56"/>
    </row>
    <row r="382" spans="1:37" ht="25.5" customHeight="1">
      <c r="A382" s="140" cm="1">
        <f t="array" ref="A382">A381+1</f>
        <v>367</v>
      </c>
      <c r="B382" s="79" t="s">
        <v>779</v>
      </c>
      <c r="C382" s="95">
        <v>3</v>
      </c>
      <c r="D382" s="79" t="s">
        <v>733</v>
      </c>
      <c r="E382" s="79" t="s">
        <v>780</v>
      </c>
      <c r="F382" s="79"/>
      <c r="G382" s="80" t="s">
        <v>654</v>
      </c>
      <c r="H382" s="81">
        <v>66798</v>
      </c>
      <c r="I382" s="82">
        <v>232</v>
      </c>
      <c r="J382" s="98"/>
      <c r="K382" s="100">
        <v>0</v>
      </c>
      <c r="L382" s="105" cm="1">
        <f t="array" ref="L382">WORKDAY(M382,-20)</f>
        <v>46171</v>
      </c>
      <c r="M382" s="85">
        <v>46199</v>
      </c>
      <c r="N382" s="86" cm="1">
        <f t="array" ref="N382">WORKDAY(M382,10)</f>
        <v>46213</v>
      </c>
      <c r="O382" s="87">
        <v>0</v>
      </c>
      <c r="P382" s="88">
        <v>0</v>
      </c>
      <c r="Q382" s="89">
        <v>46167</v>
      </c>
      <c r="R382" s="96">
        <v>46195</v>
      </c>
      <c r="S382" s="86" cm="1">
        <f t="array" ref="S382">WORKDAY(R382,10)</f>
        <v>46209</v>
      </c>
      <c r="T382" s="87">
        <v>0</v>
      </c>
      <c r="U382" s="91" t="s">
        <v>105</v>
      </c>
      <c r="V382" s="92">
        <v>0</v>
      </c>
      <c r="W382" s="93" cm="1">
        <f t="array" ref="W382">WORKDAY(X382,-20)</f>
        <v>46281</v>
      </c>
      <c r="X382" s="90">
        <v>46309</v>
      </c>
      <c r="Y382" s="88">
        <v>0</v>
      </c>
      <c r="Z382" s="93">
        <v>46336</v>
      </c>
      <c r="AA382" s="90">
        <v>46378</v>
      </c>
      <c r="AB382" s="88">
        <v>0</v>
      </c>
      <c r="AC382" s="79" t="s">
        <v>49</v>
      </c>
      <c r="AD382" s="79" t="s">
        <v>49</v>
      </c>
      <c r="AE382" s="90"/>
      <c r="AF382" s="88">
        <v>0</v>
      </c>
      <c r="AG382" s="93" cm="1">
        <f t="array" ref="AG382">WORKDAY(AA382,2)</f>
        <v>46380</v>
      </c>
      <c r="AH382" s="90" cm="1">
        <f t="array" ref="AH382">WORKDAY(AG382,1)</f>
        <v>46381</v>
      </c>
      <c r="AI382" s="86" cm="1">
        <f t="array" ref="AI382">WORKDAY(AH382,1)</f>
        <v>46384</v>
      </c>
      <c r="AJ382" s="145"/>
      <c r="AK382" s="56"/>
    </row>
    <row r="383" spans="1:37" ht="25.5" customHeight="1">
      <c r="A383" s="140" cm="1">
        <f t="array" ref="A383">A382+1</f>
        <v>368</v>
      </c>
      <c r="B383" s="79" t="s">
        <v>781</v>
      </c>
      <c r="C383" s="95">
        <v>3</v>
      </c>
      <c r="D383" s="79" t="s">
        <v>782</v>
      </c>
      <c r="E383" s="79" t="s">
        <v>783</v>
      </c>
      <c r="F383" s="79"/>
      <c r="G383" s="80" t="s">
        <v>654</v>
      </c>
      <c r="H383" s="81">
        <v>66798</v>
      </c>
      <c r="I383" s="82">
        <v>233</v>
      </c>
      <c r="J383" s="98"/>
      <c r="K383" s="100">
        <v>0</v>
      </c>
      <c r="L383" s="105" cm="1">
        <f t="array" ref="L383">WORKDAY(M383,-20)</f>
        <v>46171</v>
      </c>
      <c r="M383" s="85">
        <v>46199</v>
      </c>
      <c r="N383" s="86" cm="1">
        <f t="array" ref="N383">WORKDAY(M383,10)</f>
        <v>46213</v>
      </c>
      <c r="O383" s="87">
        <v>0</v>
      </c>
      <c r="P383" s="88">
        <v>0</v>
      </c>
      <c r="Q383" s="89">
        <v>46167</v>
      </c>
      <c r="R383" s="96">
        <v>46195</v>
      </c>
      <c r="S383" s="86" cm="1">
        <f t="array" ref="S383">WORKDAY(R383,10)</f>
        <v>46209</v>
      </c>
      <c r="T383" s="87">
        <v>0</v>
      </c>
      <c r="U383" s="91" t="s">
        <v>105</v>
      </c>
      <c r="V383" s="92">
        <v>0</v>
      </c>
      <c r="W383" s="93" cm="1">
        <f t="array" ref="W383">WORKDAY(X383,-20)</f>
        <v>46281</v>
      </c>
      <c r="X383" s="90">
        <v>46309</v>
      </c>
      <c r="Y383" s="88">
        <v>0</v>
      </c>
      <c r="Z383" s="93">
        <v>46337</v>
      </c>
      <c r="AA383" s="90">
        <v>46379</v>
      </c>
      <c r="AB383" s="88">
        <v>0</v>
      </c>
      <c r="AC383" s="79" t="s">
        <v>49</v>
      </c>
      <c r="AD383" s="79" t="s">
        <v>49</v>
      </c>
      <c r="AE383" s="90"/>
      <c r="AF383" s="88">
        <v>0</v>
      </c>
      <c r="AG383" s="93" cm="1">
        <f t="array" ref="AG383">WORKDAY(AA383,2)</f>
        <v>46381</v>
      </c>
      <c r="AH383" s="90" cm="1">
        <f t="array" ref="AH383">WORKDAY(AG383,1)</f>
        <v>46384</v>
      </c>
      <c r="AI383" s="86" cm="1">
        <f t="array" ref="AI383">WORKDAY(AH383,1)</f>
        <v>46385</v>
      </c>
      <c r="AJ383" s="145"/>
      <c r="AK383" s="56"/>
    </row>
    <row r="384" spans="1:37" ht="25.5" customHeight="1">
      <c r="A384" s="140" cm="1">
        <f t="array" ref="A384">A383+1</f>
        <v>369</v>
      </c>
      <c r="B384" s="79" t="s">
        <v>784</v>
      </c>
      <c r="C384" s="95">
        <v>3</v>
      </c>
      <c r="D384" s="79" t="s">
        <v>782</v>
      </c>
      <c r="E384" s="79" t="s">
        <v>785</v>
      </c>
      <c r="F384" s="79"/>
      <c r="G384" s="80" t="s">
        <v>654</v>
      </c>
      <c r="H384" s="81">
        <v>66798</v>
      </c>
      <c r="I384" s="82">
        <v>234</v>
      </c>
      <c r="J384" s="98"/>
      <c r="K384" s="100">
        <v>0</v>
      </c>
      <c r="L384" s="105" cm="1">
        <f t="array" ref="L384">WORKDAY(M384,-20)</f>
        <v>46171</v>
      </c>
      <c r="M384" s="85">
        <v>46199</v>
      </c>
      <c r="N384" s="86" cm="1">
        <f t="array" ref="N384">WORKDAY(M384,10)</f>
        <v>46213</v>
      </c>
      <c r="O384" s="87">
        <v>0</v>
      </c>
      <c r="P384" s="88">
        <v>0</v>
      </c>
      <c r="Q384" s="89">
        <v>46167</v>
      </c>
      <c r="R384" s="96">
        <v>46195</v>
      </c>
      <c r="S384" s="86" cm="1">
        <f t="array" ref="S384">WORKDAY(R384,10)</f>
        <v>46209</v>
      </c>
      <c r="T384" s="87">
        <v>0</v>
      </c>
      <c r="U384" s="91" t="s">
        <v>105</v>
      </c>
      <c r="V384" s="92">
        <v>0</v>
      </c>
      <c r="W384" s="93" cm="1">
        <f t="array" ref="W384">WORKDAY(X384,-20)</f>
        <v>46282</v>
      </c>
      <c r="X384" s="90">
        <v>46310</v>
      </c>
      <c r="Y384" s="88">
        <v>0</v>
      </c>
      <c r="Z384" s="93">
        <v>46337</v>
      </c>
      <c r="AA384" s="90">
        <v>46379</v>
      </c>
      <c r="AB384" s="88">
        <v>0</v>
      </c>
      <c r="AC384" s="79" t="s">
        <v>49</v>
      </c>
      <c r="AD384" s="79" t="s">
        <v>49</v>
      </c>
      <c r="AE384" s="90"/>
      <c r="AF384" s="88">
        <v>0</v>
      </c>
      <c r="AG384" s="93" cm="1">
        <f t="array" ref="AG384">WORKDAY(AA384,2)</f>
        <v>46381</v>
      </c>
      <c r="AH384" s="90" cm="1">
        <f t="array" ref="AH384">WORKDAY(AG384,1)</f>
        <v>46384</v>
      </c>
      <c r="AI384" s="86" cm="1">
        <f t="array" ref="AI384">WORKDAY(AH384,1)</f>
        <v>46385</v>
      </c>
      <c r="AJ384" s="145"/>
      <c r="AK384" s="56"/>
    </row>
    <row r="385" spans="1:37" ht="25.5" customHeight="1">
      <c r="A385" s="140" cm="1">
        <f t="array" ref="A385">A384+1</f>
        <v>370</v>
      </c>
      <c r="B385" s="79" t="s">
        <v>786</v>
      </c>
      <c r="C385" s="95">
        <v>3</v>
      </c>
      <c r="D385" s="79" t="s">
        <v>341</v>
      </c>
      <c r="E385" s="79" t="s">
        <v>787</v>
      </c>
      <c r="F385" s="79"/>
      <c r="G385" s="80" t="s">
        <v>788</v>
      </c>
      <c r="H385" s="81">
        <v>54914</v>
      </c>
      <c r="I385" s="82">
        <v>235</v>
      </c>
      <c r="J385" s="98"/>
      <c r="K385" s="100">
        <v>0</v>
      </c>
      <c r="L385" s="105" cm="1">
        <f t="array" ref="L385">WORKDAY(M385,-20)</f>
        <v>46171</v>
      </c>
      <c r="M385" s="85">
        <v>46199</v>
      </c>
      <c r="N385" s="86" cm="1">
        <f t="array" ref="N385">WORKDAY(M385,10)</f>
        <v>46213</v>
      </c>
      <c r="O385" s="87">
        <v>0</v>
      </c>
      <c r="P385" s="88">
        <v>0</v>
      </c>
      <c r="Q385" s="89">
        <v>46167</v>
      </c>
      <c r="R385" s="96">
        <v>46195</v>
      </c>
      <c r="S385" s="86" cm="1">
        <f t="array" ref="S385">WORKDAY(R385,10)</f>
        <v>46209</v>
      </c>
      <c r="T385" s="87">
        <v>0</v>
      </c>
      <c r="U385" s="91" t="s">
        <v>105</v>
      </c>
      <c r="V385" s="92">
        <v>0</v>
      </c>
      <c r="W385" s="93" cm="1">
        <f t="array" ref="W385">WORKDAY(X385,-20)</f>
        <v>46282</v>
      </c>
      <c r="X385" s="90">
        <v>46310</v>
      </c>
      <c r="Y385" s="88">
        <v>0</v>
      </c>
      <c r="Z385" s="93">
        <v>46337</v>
      </c>
      <c r="AA385" s="90">
        <v>46379</v>
      </c>
      <c r="AB385" s="88">
        <v>0</v>
      </c>
      <c r="AC385" s="79" t="s">
        <v>49</v>
      </c>
      <c r="AD385" s="79" t="s">
        <v>49</v>
      </c>
      <c r="AE385" s="90"/>
      <c r="AF385" s="88">
        <v>0</v>
      </c>
      <c r="AG385" s="93" cm="1">
        <f t="array" ref="AG385">WORKDAY(AA385,2)</f>
        <v>46381</v>
      </c>
      <c r="AH385" s="90" cm="1">
        <f t="array" ref="AH385">WORKDAY(AG385,1)</f>
        <v>46384</v>
      </c>
      <c r="AI385" s="86" cm="1">
        <f t="array" ref="AI385">WORKDAY(AH385,1)</f>
        <v>46385</v>
      </c>
      <c r="AJ385" s="145"/>
      <c r="AK385" s="56"/>
    </row>
    <row r="386" spans="1:37" ht="25.5" customHeight="1">
      <c r="A386" s="140" cm="1">
        <f t="array" ref="A386">A385+1</f>
        <v>371</v>
      </c>
      <c r="B386" s="79" t="s">
        <v>789</v>
      </c>
      <c r="C386" s="95">
        <v>3</v>
      </c>
      <c r="D386" s="79" t="s">
        <v>341</v>
      </c>
      <c r="E386" s="79" t="s">
        <v>790</v>
      </c>
      <c r="F386" s="79"/>
      <c r="G386" s="80" t="s">
        <v>788</v>
      </c>
      <c r="H386" s="81">
        <v>54914</v>
      </c>
      <c r="I386" s="82">
        <v>236</v>
      </c>
      <c r="J386" s="98"/>
      <c r="K386" s="100">
        <v>0</v>
      </c>
      <c r="L386" s="105" cm="1">
        <f t="array" ref="L386">WORKDAY(M386,-20)</f>
        <v>46171</v>
      </c>
      <c r="M386" s="85">
        <v>46199</v>
      </c>
      <c r="N386" s="86" cm="1">
        <f t="array" ref="N386">WORKDAY(M386,10)</f>
        <v>46213</v>
      </c>
      <c r="O386" s="87">
        <v>0</v>
      </c>
      <c r="P386" s="88">
        <v>0</v>
      </c>
      <c r="Q386" s="89">
        <v>46167</v>
      </c>
      <c r="R386" s="96">
        <v>46195</v>
      </c>
      <c r="S386" s="86" cm="1">
        <f t="array" ref="S386">WORKDAY(R386,10)</f>
        <v>46209</v>
      </c>
      <c r="T386" s="87">
        <v>0</v>
      </c>
      <c r="U386" s="91" t="s">
        <v>105</v>
      </c>
      <c r="V386" s="92">
        <v>0</v>
      </c>
      <c r="W386" s="93" cm="1">
        <f t="array" ref="W386">WORKDAY(X386,-20)</f>
        <v>46282</v>
      </c>
      <c r="X386" s="90">
        <v>46310</v>
      </c>
      <c r="Y386" s="88">
        <v>0</v>
      </c>
      <c r="Z386" s="93">
        <v>46338</v>
      </c>
      <c r="AA386" s="90">
        <v>46380</v>
      </c>
      <c r="AB386" s="88">
        <v>0</v>
      </c>
      <c r="AC386" s="79" t="s">
        <v>49</v>
      </c>
      <c r="AD386" s="79" t="s">
        <v>49</v>
      </c>
      <c r="AE386" s="90"/>
      <c r="AF386" s="88">
        <v>0</v>
      </c>
      <c r="AG386" s="93" cm="1">
        <f t="array" ref="AG386">WORKDAY(AA386,2)</f>
        <v>46384</v>
      </c>
      <c r="AH386" s="90" cm="1">
        <f t="array" ref="AH386">WORKDAY(AG386,1)</f>
        <v>46385</v>
      </c>
      <c r="AI386" s="86" cm="1">
        <f t="array" ref="AI386">WORKDAY(AH386,1)</f>
        <v>46386</v>
      </c>
      <c r="AJ386" s="145"/>
      <c r="AK386" s="56"/>
    </row>
    <row r="387" spans="1:37" ht="25.5" customHeight="1">
      <c r="A387" s="140" cm="1">
        <f t="array" ref="A387">A386+1</f>
        <v>372</v>
      </c>
      <c r="B387" s="79" t="s">
        <v>791</v>
      </c>
      <c r="C387" s="95">
        <v>3</v>
      </c>
      <c r="D387" s="79" t="s">
        <v>341</v>
      </c>
      <c r="E387" s="79" t="s">
        <v>792</v>
      </c>
      <c r="F387" s="79"/>
      <c r="G387" s="80" t="s">
        <v>788</v>
      </c>
      <c r="H387" s="81">
        <v>54914</v>
      </c>
      <c r="I387" s="82">
        <v>237</v>
      </c>
      <c r="J387" s="98"/>
      <c r="K387" s="100">
        <v>0</v>
      </c>
      <c r="L387" s="105" cm="1">
        <f t="array" ref="L387">WORKDAY(M387,-20)</f>
        <v>46171</v>
      </c>
      <c r="M387" s="85">
        <v>46199</v>
      </c>
      <c r="N387" s="86" cm="1">
        <f t="array" ref="N387">WORKDAY(M387,10)</f>
        <v>46213</v>
      </c>
      <c r="O387" s="87">
        <v>0</v>
      </c>
      <c r="P387" s="88">
        <v>0</v>
      </c>
      <c r="Q387" s="89">
        <v>46167</v>
      </c>
      <c r="R387" s="96">
        <v>46195</v>
      </c>
      <c r="S387" s="86" cm="1">
        <f t="array" ref="S387">WORKDAY(R387,10)</f>
        <v>46209</v>
      </c>
      <c r="T387" s="87">
        <v>0</v>
      </c>
      <c r="U387" s="91" t="s">
        <v>105</v>
      </c>
      <c r="V387" s="92">
        <v>0</v>
      </c>
      <c r="W387" s="93" cm="1">
        <f t="array" ref="W387">WORKDAY(X387,-20)</f>
        <v>46283</v>
      </c>
      <c r="X387" s="90">
        <v>46311</v>
      </c>
      <c r="Y387" s="88">
        <v>0</v>
      </c>
      <c r="Z387" s="93">
        <v>46338</v>
      </c>
      <c r="AA387" s="90">
        <v>46380</v>
      </c>
      <c r="AB387" s="88">
        <v>0</v>
      </c>
      <c r="AC387" s="79" t="s">
        <v>49</v>
      </c>
      <c r="AD387" s="79" t="s">
        <v>49</v>
      </c>
      <c r="AE387" s="90"/>
      <c r="AF387" s="88">
        <v>0</v>
      </c>
      <c r="AG387" s="93" cm="1">
        <f t="array" ref="AG387">WORKDAY(AA387,2)</f>
        <v>46384</v>
      </c>
      <c r="AH387" s="90" cm="1">
        <f t="array" ref="AH387">WORKDAY(AG387,1)</f>
        <v>46385</v>
      </c>
      <c r="AI387" s="86" cm="1">
        <f t="array" ref="AI387">WORKDAY(AH387,1)</f>
        <v>46386</v>
      </c>
      <c r="AJ387" s="145"/>
      <c r="AK387" s="56"/>
    </row>
    <row r="388" spans="1:37" ht="25.5" customHeight="1">
      <c r="A388" s="140" cm="1">
        <f t="array" ref="A388">A387+1</f>
        <v>373</v>
      </c>
      <c r="B388" s="79" t="s">
        <v>793</v>
      </c>
      <c r="C388" s="95">
        <v>3</v>
      </c>
      <c r="D388" s="79" t="s">
        <v>341</v>
      </c>
      <c r="E388" s="79" t="s">
        <v>794</v>
      </c>
      <c r="F388" s="79"/>
      <c r="G388" s="80" t="s">
        <v>788</v>
      </c>
      <c r="H388" s="81">
        <v>54914</v>
      </c>
      <c r="I388" s="82">
        <v>238</v>
      </c>
      <c r="J388" s="98"/>
      <c r="K388" s="100">
        <v>0</v>
      </c>
      <c r="L388" s="150" cm="1">
        <f t="array" ref="L388">WORKDAY(M388,-20)</f>
        <v>46171</v>
      </c>
      <c r="M388" s="85">
        <v>46199</v>
      </c>
      <c r="N388" s="86" cm="1">
        <f t="array" ref="N388">WORKDAY(M388,10)</f>
        <v>46213</v>
      </c>
      <c r="O388" s="87">
        <v>0</v>
      </c>
      <c r="P388" s="88">
        <v>0</v>
      </c>
      <c r="Q388" s="89">
        <v>46167</v>
      </c>
      <c r="R388" s="96">
        <v>46195</v>
      </c>
      <c r="S388" s="86" cm="1">
        <f t="array" ref="S388">WORKDAY(R388,10)</f>
        <v>46209</v>
      </c>
      <c r="T388" s="87">
        <v>0</v>
      </c>
      <c r="U388" s="91" t="s">
        <v>105</v>
      </c>
      <c r="V388" s="92">
        <v>0</v>
      </c>
      <c r="W388" s="93" cm="1">
        <f t="array" ref="W388">WORKDAY(X388,-20)</f>
        <v>46283</v>
      </c>
      <c r="X388" s="90">
        <v>46311</v>
      </c>
      <c r="Y388" s="88">
        <v>0</v>
      </c>
      <c r="Z388" s="93">
        <v>46338</v>
      </c>
      <c r="AA388" s="90">
        <v>46380</v>
      </c>
      <c r="AB388" s="88">
        <v>0</v>
      </c>
      <c r="AC388" s="79" t="s">
        <v>49</v>
      </c>
      <c r="AD388" s="79" t="s">
        <v>49</v>
      </c>
      <c r="AE388" s="90"/>
      <c r="AF388" s="88">
        <v>0</v>
      </c>
      <c r="AG388" s="93" cm="1">
        <f t="array" ref="AG388">WORKDAY(AA388,2)</f>
        <v>46384</v>
      </c>
      <c r="AH388" s="90" cm="1">
        <f t="array" ref="AH388">WORKDAY(AG388,1)</f>
        <v>46385</v>
      </c>
      <c r="AI388" s="86" cm="1">
        <f t="array" ref="AI388">WORKDAY(AH388,1)</f>
        <v>46386</v>
      </c>
      <c r="AJ388" s="145"/>
      <c r="AK388" s="56"/>
    </row>
    <row r="389" spans="1:37" ht="25.5" customHeight="1">
      <c r="A389" s="140" cm="1">
        <f t="array" ref="A389">A388+1</f>
        <v>374</v>
      </c>
      <c r="B389" s="79" t="s">
        <v>795</v>
      </c>
      <c r="C389" s="95">
        <v>3</v>
      </c>
      <c r="D389" s="79" t="s">
        <v>341</v>
      </c>
      <c r="E389" s="79" t="s">
        <v>796</v>
      </c>
      <c r="F389" s="79"/>
      <c r="G389" s="80" t="s">
        <v>788</v>
      </c>
      <c r="H389" s="81">
        <v>54914</v>
      </c>
      <c r="I389" s="82">
        <v>239</v>
      </c>
      <c r="J389" s="98"/>
      <c r="K389" s="100">
        <v>0</v>
      </c>
      <c r="L389" s="111" cm="1">
        <f t="array" ref="L389">WORKDAY(M389,-20)</f>
        <v>46171</v>
      </c>
      <c r="M389" s="102">
        <v>46199</v>
      </c>
      <c r="N389" s="86" cm="1">
        <f t="array" ref="N389">WORKDAY(M389,10)</f>
        <v>46213</v>
      </c>
      <c r="O389" s="87">
        <v>0</v>
      </c>
      <c r="P389" s="88">
        <v>0</v>
      </c>
      <c r="Q389" s="89">
        <v>46167</v>
      </c>
      <c r="R389" s="96">
        <v>46195</v>
      </c>
      <c r="S389" s="86" cm="1">
        <f t="array" ref="S389">WORKDAY(R389,10)</f>
        <v>46209</v>
      </c>
      <c r="T389" s="87">
        <v>0</v>
      </c>
      <c r="U389" s="91" t="s">
        <v>105</v>
      </c>
      <c r="V389" s="92">
        <v>0</v>
      </c>
      <c r="W389" s="93" cm="1">
        <f t="array" ref="W389">WORKDAY(X389,-20)</f>
        <v>46283</v>
      </c>
      <c r="X389" s="90">
        <v>46311</v>
      </c>
      <c r="Y389" s="88">
        <v>0</v>
      </c>
      <c r="Z389" s="93">
        <v>46342</v>
      </c>
      <c r="AA389" s="90">
        <v>46384</v>
      </c>
      <c r="AB389" s="88">
        <v>0</v>
      </c>
      <c r="AC389" s="79" t="s">
        <v>49</v>
      </c>
      <c r="AD389" s="79" t="s">
        <v>49</v>
      </c>
      <c r="AE389" s="90"/>
      <c r="AF389" s="88">
        <v>0</v>
      </c>
      <c r="AG389" s="93" cm="1">
        <f t="array" ref="AG389">WORKDAY(AA389,2)</f>
        <v>46386</v>
      </c>
      <c r="AH389" s="90" cm="1">
        <f t="array" ref="AH389">WORKDAY(AG389,1)</f>
        <v>46387</v>
      </c>
      <c r="AI389" s="86" cm="1">
        <f t="array" ref="AI389">WORKDAY(AH389,1)</f>
        <v>46388</v>
      </c>
      <c r="AJ389" s="145"/>
      <c r="AK389" s="56"/>
    </row>
    <row r="390" spans="1:37" ht="25.5" customHeight="1">
      <c r="A390" s="140" cm="1">
        <f t="array" ref="A390">A389+1</f>
        <v>375</v>
      </c>
      <c r="B390" s="79" t="s">
        <v>797</v>
      </c>
      <c r="C390" s="95">
        <v>3</v>
      </c>
      <c r="D390" s="79" t="s">
        <v>341</v>
      </c>
      <c r="E390" s="79" t="s">
        <v>798</v>
      </c>
      <c r="F390" s="79"/>
      <c r="G390" s="80" t="s">
        <v>788</v>
      </c>
      <c r="H390" s="81">
        <v>54914</v>
      </c>
      <c r="I390" s="82">
        <v>240</v>
      </c>
      <c r="J390" s="98"/>
      <c r="K390" s="100">
        <v>0</v>
      </c>
      <c r="L390" s="111" cm="1">
        <f t="array" ref="L390">WORKDAY(M390,-20)</f>
        <v>46171</v>
      </c>
      <c r="M390" s="102">
        <v>46199</v>
      </c>
      <c r="N390" s="86" cm="1">
        <f t="array" ref="N390">WORKDAY(M390,10)</f>
        <v>46213</v>
      </c>
      <c r="O390" s="87">
        <v>0</v>
      </c>
      <c r="P390" s="88">
        <v>0</v>
      </c>
      <c r="Q390" s="89">
        <v>46167</v>
      </c>
      <c r="R390" s="96">
        <v>46195</v>
      </c>
      <c r="S390" s="86" cm="1">
        <f t="array" ref="S390">WORKDAY(R390,10)</f>
        <v>46209</v>
      </c>
      <c r="T390" s="87">
        <v>0</v>
      </c>
      <c r="U390" s="91" t="s">
        <v>105</v>
      </c>
      <c r="V390" s="92">
        <v>0</v>
      </c>
      <c r="W390" s="93" cm="1">
        <f t="array" ref="W390">WORKDAY(X390,-20)</f>
        <v>46286</v>
      </c>
      <c r="X390" s="90">
        <v>46314</v>
      </c>
      <c r="Y390" s="88">
        <v>0</v>
      </c>
      <c r="Z390" s="93">
        <v>46342</v>
      </c>
      <c r="AA390" s="90">
        <v>46384</v>
      </c>
      <c r="AB390" s="88">
        <v>0</v>
      </c>
      <c r="AC390" s="79" t="s">
        <v>49</v>
      </c>
      <c r="AD390" s="79" t="s">
        <v>49</v>
      </c>
      <c r="AE390" s="90"/>
      <c r="AF390" s="88">
        <v>0</v>
      </c>
      <c r="AG390" s="93" cm="1">
        <f t="array" ref="AG390">WORKDAY(AA390,2)</f>
        <v>46386</v>
      </c>
      <c r="AH390" s="90" cm="1">
        <f t="array" ref="AH390">WORKDAY(AG390,1)</f>
        <v>46387</v>
      </c>
      <c r="AI390" s="86" cm="1">
        <f t="array" ref="AI390">WORKDAY(AH390,1)</f>
        <v>46388</v>
      </c>
      <c r="AJ390" s="145"/>
      <c r="AK390" s="56"/>
    </row>
    <row r="391" spans="1:37" ht="25.5" customHeight="1">
      <c r="A391" s="140" cm="1">
        <f t="array" ref="A391">A390+1</f>
        <v>376</v>
      </c>
      <c r="B391" s="79" t="s">
        <v>799</v>
      </c>
      <c r="C391" s="95">
        <v>3</v>
      </c>
      <c r="D391" s="79" t="s">
        <v>800</v>
      </c>
      <c r="E391" s="79" t="s">
        <v>801</v>
      </c>
      <c r="F391" s="79"/>
      <c r="G391" s="80" t="s">
        <v>788</v>
      </c>
      <c r="H391" s="81">
        <v>56214</v>
      </c>
      <c r="I391" s="82">
        <v>241</v>
      </c>
      <c r="J391" s="98"/>
      <c r="K391" s="100">
        <v>0</v>
      </c>
      <c r="L391" s="111" cm="1">
        <f t="array" ref="L391">WORKDAY(M391,-20)</f>
        <v>46171</v>
      </c>
      <c r="M391" s="102">
        <v>46199</v>
      </c>
      <c r="N391" s="86" cm="1">
        <f t="array" ref="N391">WORKDAY(M391,10)</f>
        <v>46213</v>
      </c>
      <c r="O391" s="87">
        <v>0</v>
      </c>
      <c r="P391" s="88">
        <v>0</v>
      </c>
      <c r="Q391" s="89">
        <v>46167</v>
      </c>
      <c r="R391" s="96">
        <v>46195</v>
      </c>
      <c r="S391" s="86" cm="1">
        <f t="array" ref="S391">WORKDAY(R391,10)</f>
        <v>46209</v>
      </c>
      <c r="T391" s="87">
        <v>0</v>
      </c>
      <c r="U391" s="91" t="s">
        <v>105</v>
      </c>
      <c r="V391" s="92">
        <v>0</v>
      </c>
      <c r="W391" s="93" cm="1">
        <f t="array" ref="W391">WORKDAY(X391,-20)</f>
        <v>46286</v>
      </c>
      <c r="X391" s="90">
        <v>46314</v>
      </c>
      <c r="Y391" s="88">
        <v>0</v>
      </c>
      <c r="Z391" s="93">
        <v>46342</v>
      </c>
      <c r="AA391" s="90">
        <v>46384</v>
      </c>
      <c r="AB391" s="88">
        <v>0</v>
      </c>
      <c r="AC391" s="79" t="s">
        <v>49</v>
      </c>
      <c r="AD391" s="79" t="s">
        <v>49</v>
      </c>
      <c r="AE391" s="90"/>
      <c r="AF391" s="88">
        <v>0</v>
      </c>
      <c r="AG391" s="93" cm="1">
        <f t="array" ref="AG391">WORKDAY(AA391,2)</f>
        <v>46386</v>
      </c>
      <c r="AH391" s="90" cm="1">
        <f t="array" ref="AH391">WORKDAY(AG391,1)</f>
        <v>46387</v>
      </c>
      <c r="AI391" s="86" cm="1">
        <f t="array" ref="AI391">WORKDAY(AH391,1)</f>
        <v>46388</v>
      </c>
      <c r="AJ391" s="145"/>
      <c r="AK391" s="56"/>
    </row>
    <row r="392" spans="1:37" ht="25.5" customHeight="1">
      <c r="A392" s="140" cm="1">
        <f t="array" ref="A392">A391+1</f>
        <v>377</v>
      </c>
      <c r="B392" s="79" t="s">
        <v>802</v>
      </c>
      <c r="C392" s="95">
        <v>3</v>
      </c>
      <c r="D392" s="79" t="s">
        <v>325</v>
      </c>
      <c r="E392" s="79" t="s">
        <v>803</v>
      </c>
      <c r="F392" s="79"/>
      <c r="G392" s="80" t="s">
        <v>788</v>
      </c>
      <c r="H392" s="81">
        <v>56430</v>
      </c>
      <c r="I392" s="82">
        <v>242</v>
      </c>
      <c r="J392" s="98"/>
      <c r="K392" s="100">
        <v>0</v>
      </c>
      <c r="L392" s="111" cm="1">
        <f t="array" ref="L392">WORKDAY(M392,-20)</f>
        <v>46171</v>
      </c>
      <c r="M392" s="102">
        <v>46199</v>
      </c>
      <c r="N392" s="86" cm="1">
        <f t="array" ref="N392">WORKDAY(M392,10)</f>
        <v>46213</v>
      </c>
      <c r="O392" s="87">
        <v>0</v>
      </c>
      <c r="P392" s="88">
        <v>0</v>
      </c>
      <c r="Q392" s="89">
        <v>46167</v>
      </c>
      <c r="R392" s="96">
        <v>46195</v>
      </c>
      <c r="S392" s="86" cm="1">
        <f t="array" ref="S392">WORKDAY(R392,10)</f>
        <v>46209</v>
      </c>
      <c r="T392" s="87">
        <v>0</v>
      </c>
      <c r="U392" s="91" t="s">
        <v>105</v>
      </c>
      <c r="V392" s="92">
        <v>0</v>
      </c>
      <c r="W392" s="93" cm="1">
        <f t="array" ref="W392">WORKDAY(X392,-20)</f>
        <v>46286</v>
      </c>
      <c r="X392" s="90">
        <v>46314</v>
      </c>
      <c r="Y392" s="88">
        <v>0</v>
      </c>
      <c r="Z392" s="93">
        <v>46343</v>
      </c>
      <c r="AA392" s="90">
        <v>46385</v>
      </c>
      <c r="AB392" s="88">
        <v>0</v>
      </c>
      <c r="AC392" s="79" t="s">
        <v>49</v>
      </c>
      <c r="AD392" s="79" t="s">
        <v>49</v>
      </c>
      <c r="AE392" s="90"/>
      <c r="AF392" s="88">
        <v>0</v>
      </c>
      <c r="AG392" s="93" cm="1">
        <f t="array" ref="AG392">WORKDAY(AA392,2)</f>
        <v>46387</v>
      </c>
      <c r="AH392" s="90" cm="1">
        <f t="array" ref="AH392">WORKDAY(AG392,1)</f>
        <v>46388</v>
      </c>
      <c r="AI392" s="86" cm="1">
        <f t="array" ref="AI392">WORKDAY(AH392,1)</f>
        <v>46391</v>
      </c>
      <c r="AJ392" s="145"/>
      <c r="AK392" s="56"/>
    </row>
    <row r="393" spans="1:37" ht="25.5" customHeight="1">
      <c r="A393" s="140" cm="1">
        <f t="array" ref="A393">A392+1</f>
        <v>378</v>
      </c>
      <c r="B393" s="79" t="s">
        <v>804</v>
      </c>
      <c r="C393" s="95">
        <v>3</v>
      </c>
      <c r="D393" s="79" t="s">
        <v>325</v>
      </c>
      <c r="E393" s="79" t="s">
        <v>805</v>
      </c>
      <c r="F393" s="79"/>
      <c r="G393" s="80" t="s">
        <v>788</v>
      </c>
      <c r="H393" s="81">
        <v>56430</v>
      </c>
      <c r="I393" s="82">
        <v>243</v>
      </c>
      <c r="J393" s="98"/>
      <c r="K393" s="100">
        <v>0</v>
      </c>
      <c r="L393" s="111" cm="1">
        <f t="array" ref="L393">WORKDAY(M393,-20)</f>
        <v>46171</v>
      </c>
      <c r="M393" s="102">
        <v>46199</v>
      </c>
      <c r="N393" s="86" cm="1">
        <f t="array" ref="N393">WORKDAY(M393,10)</f>
        <v>46213</v>
      </c>
      <c r="O393" s="87">
        <v>0</v>
      </c>
      <c r="P393" s="88">
        <v>0</v>
      </c>
      <c r="Q393" s="89">
        <v>46167</v>
      </c>
      <c r="R393" s="96">
        <v>46195</v>
      </c>
      <c r="S393" s="86" cm="1">
        <f t="array" ref="S393">WORKDAY(R393,10)</f>
        <v>46209</v>
      </c>
      <c r="T393" s="87">
        <v>0</v>
      </c>
      <c r="U393" s="91" t="s">
        <v>105</v>
      </c>
      <c r="V393" s="92">
        <v>0</v>
      </c>
      <c r="W393" s="93" cm="1">
        <f t="array" ref="W393">WORKDAY(X393,-20)</f>
        <v>46287</v>
      </c>
      <c r="X393" s="90">
        <v>46315</v>
      </c>
      <c r="Y393" s="88">
        <v>0</v>
      </c>
      <c r="Z393" s="93">
        <v>46343</v>
      </c>
      <c r="AA393" s="90">
        <v>46385</v>
      </c>
      <c r="AB393" s="88">
        <v>0</v>
      </c>
      <c r="AC393" s="79" t="s">
        <v>49</v>
      </c>
      <c r="AD393" s="79" t="s">
        <v>49</v>
      </c>
      <c r="AE393" s="90"/>
      <c r="AF393" s="88">
        <v>0</v>
      </c>
      <c r="AG393" s="93" cm="1">
        <f t="array" ref="AG393">WORKDAY(AA393,2)</f>
        <v>46387</v>
      </c>
      <c r="AH393" s="90" cm="1">
        <f t="array" ref="AH393">WORKDAY(AG393,1)</f>
        <v>46388</v>
      </c>
      <c r="AI393" s="86" cm="1">
        <f t="array" ref="AI393">WORKDAY(AH393,1)</f>
        <v>46391</v>
      </c>
      <c r="AJ393" s="145"/>
      <c r="AK393" s="56"/>
    </row>
    <row r="394" spans="1:37" ht="25.5" customHeight="1">
      <c r="A394" s="140" cm="1">
        <f t="array" ref="A394">A393+1</f>
        <v>379</v>
      </c>
      <c r="B394" s="79" t="s">
        <v>806</v>
      </c>
      <c r="C394" s="95">
        <v>3</v>
      </c>
      <c r="D394" s="79" t="s">
        <v>325</v>
      </c>
      <c r="E394" s="79" t="s">
        <v>807</v>
      </c>
      <c r="F394" s="79"/>
      <c r="G394" s="80" t="s">
        <v>788</v>
      </c>
      <c r="H394" s="81">
        <v>56430</v>
      </c>
      <c r="I394" s="82">
        <v>244</v>
      </c>
      <c r="J394" s="98"/>
      <c r="K394" s="100">
        <v>0</v>
      </c>
      <c r="L394" s="111" cm="1">
        <f t="array" ref="L394">WORKDAY(M394,-20)</f>
        <v>46171</v>
      </c>
      <c r="M394" s="102">
        <v>46199</v>
      </c>
      <c r="N394" s="86" cm="1">
        <f t="array" ref="N394">WORKDAY(M394,10)</f>
        <v>46213</v>
      </c>
      <c r="O394" s="87">
        <v>0</v>
      </c>
      <c r="P394" s="88">
        <v>0</v>
      </c>
      <c r="Q394" s="89">
        <v>46167</v>
      </c>
      <c r="R394" s="96">
        <v>46195</v>
      </c>
      <c r="S394" s="86" cm="1">
        <f t="array" ref="S394">WORKDAY(R394,10)</f>
        <v>46209</v>
      </c>
      <c r="T394" s="87">
        <v>0</v>
      </c>
      <c r="U394" s="91" t="s">
        <v>105</v>
      </c>
      <c r="V394" s="92">
        <v>0</v>
      </c>
      <c r="W394" s="93" cm="1">
        <f t="array" ref="W394">WORKDAY(X394,-20)</f>
        <v>46287</v>
      </c>
      <c r="X394" s="90">
        <v>46315</v>
      </c>
      <c r="Y394" s="88">
        <v>0</v>
      </c>
      <c r="Z394" s="93">
        <v>46343</v>
      </c>
      <c r="AA394" s="90">
        <v>46385</v>
      </c>
      <c r="AB394" s="88">
        <v>0</v>
      </c>
      <c r="AC394" s="79" t="s">
        <v>49</v>
      </c>
      <c r="AD394" s="79" t="s">
        <v>49</v>
      </c>
      <c r="AE394" s="90"/>
      <c r="AF394" s="88">
        <v>0</v>
      </c>
      <c r="AG394" s="93" cm="1">
        <f t="array" ref="AG394">WORKDAY(AA394,2)</f>
        <v>46387</v>
      </c>
      <c r="AH394" s="90" cm="1">
        <f t="array" ref="AH394">WORKDAY(AG394,1)</f>
        <v>46388</v>
      </c>
      <c r="AI394" s="86" cm="1">
        <f t="array" ref="AI394">WORKDAY(AH394,1)</f>
        <v>46391</v>
      </c>
      <c r="AJ394" s="145"/>
      <c r="AK394" s="56"/>
    </row>
    <row r="395" spans="1:37" ht="25.5" customHeight="1">
      <c r="A395" s="140" cm="1">
        <f t="array" ref="A395">A394+1</f>
        <v>380</v>
      </c>
      <c r="B395" s="79" t="s">
        <v>808</v>
      </c>
      <c r="C395" s="95">
        <v>3</v>
      </c>
      <c r="D395" s="79" t="s">
        <v>325</v>
      </c>
      <c r="E395" s="79" t="s">
        <v>809</v>
      </c>
      <c r="F395" s="79"/>
      <c r="G395" s="80" t="s">
        <v>788</v>
      </c>
      <c r="H395" s="81">
        <v>56430</v>
      </c>
      <c r="I395" s="82">
        <v>245</v>
      </c>
      <c r="J395" s="98"/>
      <c r="K395" s="100">
        <v>0</v>
      </c>
      <c r="L395" s="111" cm="1">
        <f t="array" ref="L395">WORKDAY(M395,-20)</f>
        <v>46171</v>
      </c>
      <c r="M395" s="102">
        <v>46199</v>
      </c>
      <c r="N395" s="86" cm="1">
        <f t="array" ref="N395">WORKDAY(M395,10)</f>
        <v>46213</v>
      </c>
      <c r="O395" s="87">
        <v>0</v>
      </c>
      <c r="P395" s="88">
        <v>0</v>
      </c>
      <c r="Q395" s="89">
        <v>46167</v>
      </c>
      <c r="R395" s="96">
        <v>46195</v>
      </c>
      <c r="S395" s="86" cm="1">
        <f t="array" ref="S395">WORKDAY(R395,10)</f>
        <v>46209</v>
      </c>
      <c r="T395" s="87">
        <v>0</v>
      </c>
      <c r="U395" s="91" t="s">
        <v>105</v>
      </c>
      <c r="V395" s="92">
        <v>0</v>
      </c>
      <c r="W395" s="93" cm="1">
        <f t="array" ref="W395">WORKDAY(X395,-20)</f>
        <v>46287</v>
      </c>
      <c r="X395" s="90">
        <v>46315</v>
      </c>
      <c r="Y395" s="88">
        <v>0</v>
      </c>
      <c r="Z395" s="93">
        <v>46344</v>
      </c>
      <c r="AA395" s="90">
        <v>46386</v>
      </c>
      <c r="AB395" s="88">
        <v>0</v>
      </c>
      <c r="AC395" s="79" t="s">
        <v>49</v>
      </c>
      <c r="AD395" s="79" t="s">
        <v>49</v>
      </c>
      <c r="AE395" s="90"/>
      <c r="AF395" s="88">
        <v>0</v>
      </c>
      <c r="AG395" s="93" cm="1">
        <f t="array" ref="AG395">WORKDAY(AA395,2)</f>
        <v>46388</v>
      </c>
      <c r="AH395" s="90" cm="1">
        <f t="array" ref="AH395">WORKDAY(AG395,1)</f>
        <v>46391</v>
      </c>
      <c r="AI395" s="86" cm="1">
        <f t="array" ref="AI395">WORKDAY(AH395,1)</f>
        <v>46392</v>
      </c>
      <c r="AJ395" s="145"/>
      <c r="AK395" s="56"/>
    </row>
    <row r="396" spans="1:37" ht="25.5" customHeight="1">
      <c r="A396" s="140" cm="1">
        <f t="array" ref="A396">A395+1</f>
        <v>381</v>
      </c>
      <c r="B396" s="79" t="s">
        <v>810</v>
      </c>
      <c r="C396" s="95">
        <v>3</v>
      </c>
      <c r="D396" s="79" t="s">
        <v>325</v>
      </c>
      <c r="E396" s="79" t="s">
        <v>811</v>
      </c>
      <c r="F396" s="79"/>
      <c r="G396" s="80" t="s">
        <v>788</v>
      </c>
      <c r="H396" s="81">
        <v>56430</v>
      </c>
      <c r="I396" s="82">
        <v>246</v>
      </c>
      <c r="J396" s="98"/>
      <c r="K396" s="100">
        <v>0</v>
      </c>
      <c r="L396" s="112" cm="1">
        <f t="array" ref="L396">WORKDAY(M396,-20)</f>
        <v>46171</v>
      </c>
      <c r="M396" s="85">
        <v>46199</v>
      </c>
      <c r="N396" s="86" cm="1">
        <f t="array" ref="N396">WORKDAY(M396,10)</f>
        <v>46213</v>
      </c>
      <c r="O396" s="87">
        <v>0</v>
      </c>
      <c r="P396" s="88">
        <v>0</v>
      </c>
      <c r="Q396" s="89">
        <v>46167</v>
      </c>
      <c r="R396" s="96">
        <v>46195</v>
      </c>
      <c r="S396" s="86" cm="1">
        <f t="array" ref="S396">WORKDAY(R396,10)</f>
        <v>46209</v>
      </c>
      <c r="T396" s="87">
        <v>0</v>
      </c>
      <c r="U396" s="91" t="s">
        <v>105</v>
      </c>
      <c r="V396" s="92">
        <v>0</v>
      </c>
      <c r="W396" s="93" cm="1">
        <f t="array" ref="W396">WORKDAY(X396,-20)</f>
        <v>46288</v>
      </c>
      <c r="X396" s="90">
        <v>46316</v>
      </c>
      <c r="Y396" s="88">
        <v>0</v>
      </c>
      <c r="Z396" s="93">
        <v>46344</v>
      </c>
      <c r="AA396" s="90">
        <v>46386</v>
      </c>
      <c r="AB396" s="88">
        <v>0</v>
      </c>
      <c r="AC396" s="79" t="s">
        <v>49</v>
      </c>
      <c r="AD396" s="79" t="s">
        <v>49</v>
      </c>
      <c r="AE396" s="90"/>
      <c r="AF396" s="88">
        <v>0</v>
      </c>
      <c r="AG396" s="93" cm="1">
        <f t="array" ref="AG396">WORKDAY(AA396,2)</f>
        <v>46388</v>
      </c>
      <c r="AH396" s="90" cm="1">
        <f t="array" ref="AH396">WORKDAY(AG396,1)</f>
        <v>46391</v>
      </c>
      <c r="AI396" s="86" cm="1">
        <f t="array" ref="AI396">WORKDAY(AH396,1)</f>
        <v>46392</v>
      </c>
      <c r="AJ396" s="145"/>
      <c r="AK396" s="56"/>
    </row>
    <row r="397" spans="1:37" ht="25.5" customHeight="1">
      <c r="A397" s="140" cm="1">
        <f t="array" ref="A397">A396+1</f>
        <v>382</v>
      </c>
      <c r="B397" s="79" t="s">
        <v>812</v>
      </c>
      <c r="C397" s="95">
        <v>3</v>
      </c>
      <c r="D397" s="79" t="s">
        <v>575</v>
      </c>
      <c r="E397" s="79" t="s">
        <v>813</v>
      </c>
      <c r="F397" s="79"/>
      <c r="G397" s="80" t="s">
        <v>113</v>
      </c>
      <c r="H397" s="81">
        <v>32234</v>
      </c>
      <c r="I397" s="82">
        <v>247</v>
      </c>
      <c r="J397" s="98"/>
      <c r="K397" s="100">
        <v>0</v>
      </c>
      <c r="L397" s="105" cm="1">
        <f t="array" ref="L397">WORKDAY(M397,-20)</f>
        <v>46171</v>
      </c>
      <c r="M397" s="85">
        <v>46199</v>
      </c>
      <c r="N397" s="86" cm="1">
        <f t="array" ref="N397">WORKDAY(M397,10)</f>
        <v>46213</v>
      </c>
      <c r="O397" s="87">
        <v>0</v>
      </c>
      <c r="P397" s="88">
        <v>0</v>
      </c>
      <c r="Q397" s="89">
        <v>46167</v>
      </c>
      <c r="R397" s="96">
        <v>46195</v>
      </c>
      <c r="S397" s="86" cm="1">
        <f t="array" ref="S397">WORKDAY(R397,10)</f>
        <v>46209</v>
      </c>
      <c r="T397" s="87">
        <v>0</v>
      </c>
      <c r="U397" s="91" t="s">
        <v>105</v>
      </c>
      <c r="V397" s="92">
        <v>0</v>
      </c>
      <c r="W397" s="93" cm="1">
        <f t="array" ref="W397">WORKDAY(X397,-20)</f>
        <v>46288</v>
      </c>
      <c r="X397" s="90">
        <v>46316</v>
      </c>
      <c r="Y397" s="88">
        <v>0</v>
      </c>
      <c r="Z397" s="93">
        <v>46344</v>
      </c>
      <c r="AA397" s="90">
        <v>46386</v>
      </c>
      <c r="AB397" s="88">
        <v>0</v>
      </c>
      <c r="AC397" s="79" t="s">
        <v>49</v>
      </c>
      <c r="AD397" s="79" t="s">
        <v>49</v>
      </c>
      <c r="AE397" s="90"/>
      <c r="AF397" s="88">
        <v>0</v>
      </c>
      <c r="AG397" s="93" cm="1">
        <f t="array" ref="AG397">WORKDAY(AA397,2)</f>
        <v>46388</v>
      </c>
      <c r="AH397" s="90" cm="1">
        <f t="array" ref="AH397">WORKDAY(AG397,1)</f>
        <v>46391</v>
      </c>
      <c r="AI397" s="86" cm="1">
        <f t="array" ref="AI397">WORKDAY(AH397,1)</f>
        <v>46392</v>
      </c>
      <c r="AJ397" s="145"/>
      <c r="AK397" s="56"/>
    </row>
    <row r="398" spans="1:37" ht="25.5" customHeight="1">
      <c r="A398" s="140" cm="1">
        <f t="array" ref="A398">A397+1</f>
        <v>383</v>
      </c>
      <c r="B398" s="79" t="s">
        <v>814</v>
      </c>
      <c r="C398" s="95">
        <v>3</v>
      </c>
      <c r="D398" s="79" t="s">
        <v>575</v>
      </c>
      <c r="E398" s="79" t="s">
        <v>815</v>
      </c>
      <c r="F398" s="79"/>
      <c r="G398" s="80" t="s">
        <v>113</v>
      </c>
      <c r="H398" s="81">
        <v>32234</v>
      </c>
      <c r="I398" s="82">
        <v>248</v>
      </c>
      <c r="J398" s="98"/>
      <c r="K398" s="100">
        <v>0</v>
      </c>
      <c r="L398" s="105" cm="1">
        <f t="array" ref="L398">WORKDAY(M398,-20)</f>
        <v>46171</v>
      </c>
      <c r="M398" s="85">
        <v>46199</v>
      </c>
      <c r="N398" s="86" cm="1">
        <f t="array" ref="N398">WORKDAY(M398,10)</f>
        <v>46213</v>
      </c>
      <c r="O398" s="87">
        <v>0</v>
      </c>
      <c r="P398" s="88">
        <v>0</v>
      </c>
      <c r="Q398" s="89">
        <v>46167</v>
      </c>
      <c r="R398" s="96">
        <v>46195</v>
      </c>
      <c r="S398" s="86" cm="1">
        <f t="array" ref="S398">WORKDAY(R398,10)</f>
        <v>46209</v>
      </c>
      <c r="T398" s="87">
        <v>0</v>
      </c>
      <c r="U398" s="91" t="s">
        <v>105</v>
      </c>
      <c r="V398" s="92">
        <v>0</v>
      </c>
      <c r="W398" s="93" cm="1">
        <f t="array" ref="W398">WORKDAY(X398,-20)</f>
        <v>46288</v>
      </c>
      <c r="X398" s="90">
        <v>46316</v>
      </c>
      <c r="Y398" s="88">
        <v>0</v>
      </c>
      <c r="Z398" s="93">
        <v>46349</v>
      </c>
      <c r="AA398" s="90">
        <v>46391</v>
      </c>
      <c r="AB398" s="88">
        <v>0</v>
      </c>
      <c r="AC398" s="79" t="s">
        <v>49</v>
      </c>
      <c r="AD398" s="79" t="s">
        <v>49</v>
      </c>
      <c r="AE398" s="90"/>
      <c r="AF398" s="88">
        <v>0</v>
      </c>
      <c r="AG398" s="93" cm="1">
        <f t="array" ref="AG398">WORKDAY(AA398,2)</f>
        <v>46393</v>
      </c>
      <c r="AH398" s="90" cm="1">
        <f t="array" ref="AH398">WORKDAY(AG398,1)</f>
        <v>46394</v>
      </c>
      <c r="AI398" s="86" cm="1">
        <f t="array" ref="AI398">WORKDAY(AH398,1)</f>
        <v>46395</v>
      </c>
      <c r="AJ398" s="145"/>
      <c r="AK398" s="56"/>
    </row>
    <row r="399" spans="1:37" ht="25.5" customHeight="1">
      <c r="A399" s="140" cm="1">
        <f t="array" ref="A399">A398+1</f>
        <v>384</v>
      </c>
      <c r="B399" s="79" t="s">
        <v>816</v>
      </c>
      <c r="C399" s="95">
        <v>3</v>
      </c>
      <c r="D399" s="79" t="s">
        <v>575</v>
      </c>
      <c r="E399" s="79" t="s">
        <v>817</v>
      </c>
      <c r="F399" s="79"/>
      <c r="G399" s="80" t="s">
        <v>113</v>
      </c>
      <c r="H399" s="81">
        <v>32234</v>
      </c>
      <c r="I399" s="82">
        <v>249</v>
      </c>
      <c r="J399" s="98"/>
      <c r="K399" s="100">
        <v>0</v>
      </c>
      <c r="L399" s="105" cm="1">
        <f t="array" ref="L399">WORKDAY(M399,-20)</f>
        <v>46171</v>
      </c>
      <c r="M399" s="85">
        <v>46199</v>
      </c>
      <c r="N399" s="86" cm="1">
        <f t="array" ref="N399">WORKDAY(M399,10)</f>
        <v>46213</v>
      </c>
      <c r="O399" s="87">
        <v>0</v>
      </c>
      <c r="P399" s="88">
        <v>0</v>
      </c>
      <c r="Q399" s="89">
        <v>46167</v>
      </c>
      <c r="R399" s="96">
        <v>46195</v>
      </c>
      <c r="S399" s="86" cm="1">
        <f t="array" ref="S399">WORKDAY(R399,10)</f>
        <v>46209</v>
      </c>
      <c r="T399" s="87">
        <v>0</v>
      </c>
      <c r="U399" s="91" t="s">
        <v>105</v>
      </c>
      <c r="V399" s="92">
        <v>0</v>
      </c>
      <c r="W399" s="93" cm="1">
        <f t="array" ref="W399">WORKDAY(X399,-20)</f>
        <v>46289</v>
      </c>
      <c r="X399" s="90">
        <v>46317</v>
      </c>
      <c r="Y399" s="88">
        <v>0</v>
      </c>
      <c r="Z399" s="93">
        <v>46349</v>
      </c>
      <c r="AA399" s="90">
        <v>46391</v>
      </c>
      <c r="AB399" s="88">
        <v>0</v>
      </c>
      <c r="AC399" s="79" t="s">
        <v>49</v>
      </c>
      <c r="AD399" s="79" t="s">
        <v>49</v>
      </c>
      <c r="AE399" s="90"/>
      <c r="AF399" s="88">
        <v>0</v>
      </c>
      <c r="AG399" s="93" cm="1">
        <f t="array" ref="AG399">WORKDAY(AA399,2)</f>
        <v>46393</v>
      </c>
      <c r="AH399" s="90" cm="1">
        <f t="array" ref="AH399">WORKDAY(AG399,1)</f>
        <v>46394</v>
      </c>
      <c r="AI399" s="86" cm="1">
        <f t="array" ref="AI399">WORKDAY(AH399,1)</f>
        <v>46395</v>
      </c>
      <c r="AJ399" s="145"/>
      <c r="AK399" s="56"/>
    </row>
    <row r="400" spans="1:37" ht="25.5" customHeight="1">
      <c r="A400" s="140" cm="1">
        <f t="array" ref="A400">A399+1</f>
        <v>385</v>
      </c>
      <c r="B400" s="79" t="s">
        <v>818</v>
      </c>
      <c r="C400" s="95">
        <v>3</v>
      </c>
      <c r="D400" s="79" t="s">
        <v>575</v>
      </c>
      <c r="E400" s="79" t="s">
        <v>819</v>
      </c>
      <c r="F400" s="79"/>
      <c r="G400" s="80" t="s">
        <v>113</v>
      </c>
      <c r="H400" s="81">
        <v>32234</v>
      </c>
      <c r="I400" s="82">
        <v>250</v>
      </c>
      <c r="J400" s="98"/>
      <c r="K400" s="100">
        <v>0</v>
      </c>
      <c r="L400" s="105" cm="1">
        <f t="array" ref="L400">WORKDAY(M400,-20)</f>
        <v>46171</v>
      </c>
      <c r="M400" s="85">
        <v>46199</v>
      </c>
      <c r="N400" s="86" cm="1">
        <f t="array" ref="N400">WORKDAY(M400,10)</f>
        <v>46213</v>
      </c>
      <c r="O400" s="87">
        <v>0</v>
      </c>
      <c r="P400" s="88">
        <v>0</v>
      </c>
      <c r="Q400" s="89">
        <v>46167</v>
      </c>
      <c r="R400" s="96">
        <v>46195</v>
      </c>
      <c r="S400" s="86" cm="1">
        <f t="array" ref="S400">WORKDAY(R400,10)</f>
        <v>46209</v>
      </c>
      <c r="T400" s="87">
        <v>0</v>
      </c>
      <c r="U400" s="91" t="s">
        <v>105</v>
      </c>
      <c r="V400" s="92">
        <v>0</v>
      </c>
      <c r="W400" s="93" cm="1">
        <f t="array" ref="W400">WORKDAY(X400,-20)</f>
        <v>46289</v>
      </c>
      <c r="X400" s="90">
        <v>46317</v>
      </c>
      <c r="Y400" s="88">
        <v>0</v>
      </c>
      <c r="Z400" s="93">
        <v>46349</v>
      </c>
      <c r="AA400" s="90">
        <v>46391</v>
      </c>
      <c r="AB400" s="88">
        <v>0</v>
      </c>
      <c r="AC400" s="79" t="s">
        <v>49</v>
      </c>
      <c r="AD400" s="79" t="s">
        <v>49</v>
      </c>
      <c r="AE400" s="90"/>
      <c r="AF400" s="88">
        <v>0</v>
      </c>
      <c r="AG400" s="93" cm="1">
        <f t="array" ref="AG400">WORKDAY(AA400,2)</f>
        <v>46393</v>
      </c>
      <c r="AH400" s="90" cm="1">
        <f t="array" ref="AH400">WORKDAY(AG400,1)</f>
        <v>46394</v>
      </c>
      <c r="AI400" s="86" cm="1">
        <f t="array" ref="AI400">WORKDAY(AH400,1)</f>
        <v>46395</v>
      </c>
      <c r="AJ400" s="145"/>
      <c r="AK400" s="56"/>
    </row>
    <row r="401" spans="1:37" ht="25.5" customHeight="1">
      <c r="A401" s="140" cm="1">
        <f t="array" ref="A401">A400+1</f>
        <v>386</v>
      </c>
      <c r="B401" s="79" t="s">
        <v>820</v>
      </c>
      <c r="C401" s="95">
        <v>3</v>
      </c>
      <c r="D401" s="79" t="s">
        <v>575</v>
      </c>
      <c r="E401" s="79" t="s">
        <v>821</v>
      </c>
      <c r="F401" s="79"/>
      <c r="G401" s="80" t="s">
        <v>113</v>
      </c>
      <c r="H401" s="81">
        <v>32234</v>
      </c>
      <c r="I401" s="82">
        <v>251</v>
      </c>
      <c r="J401" s="98"/>
      <c r="K401" s="100">
        <v>0</v>
      </c>
      <c r="L401" s="105" cm="1">
        <f t="array" ref="L401">WORKDAY(M401,-20)</f>
        <v>46171</v>
      </c>
      <c r="M401" s="85">
        <v>46199</v>
      </c>
      <c r="N401" s="86" cm="1">
        <f t="array" ref="N401">WORKDAY(M401,10)</f>
        <v>46213</v>
      </c>
      <c r="O401" s="87">
        <v>0</v>
      </c>
      <c r="P401" s="88">
        <v>0</v>
      </c>
      <c r="Q401" s="89">
        <v>46167</v>
      </c>
      <c r="R401" s="96">
        <v>46195</v>
      </c>
      <c r="S401" s="86" cm="1">
        <f t="array" ref="S401">WORKDAY(R401,10)</f>
        <v>46209</v>
      </c>
      <c r="T401" s="87">
        <v>0</v>
      </c>
      <c r="U401" s="91" t="s">
        <v>105</v>
      </c>
      <c r="V401" s="92">
        <v>0</v>
      </c>
      <c r="W401" s="93" cm="1">
        <f t="array" ref="W401">WORKDAY(X401,-20)</f>
        <v>46289</v>
      </c>
      <c r="X401" s="90">
        <v>46317</v>
      </c>
      <c r="Y401" s="88">
        <v>0</v>
      </c>
      <c r="Z401" s="93">
        <v>46350</v>
      </c>
      <c r="AA401" s="90">
        <v>46392</v>
      </c>
      <c r="AB401" s="88">
        <v>0</v>
      </c>
      <c r="AC401" s="79" t="s">
        <v>49</v>
      </c>
      <c r="AD401" s="79" t="s">
        <v>49</v>
      </c>
      <c r="AE401" s="90"/>
      <c r="AF401" s="88">
        <v>0</v>
      </c>
      <c r="AG401" s="93" cm="1">
        <f t="array" ref="AG401">WORKDAY(AA401,2)</f>
        <v>46394</v>
      </c>
      <c r="AH401" s="90" cm="1">
        <f t="array" ref="AH401">WORKDAY(AG401,1)</f>
        <v>46395</v>
      </c>
      <c r="AI401" s="86" cm="1">
        <f t="array" ref="AI401">WORKDAY(AH401,1)</f>
        <v>46398</v>
      </c>
      <c r="AJ401" s="145"/>
      <c r="AK401" s="56"/>
    </row>
    <row r="402" spans="1:37" ht="25.5" customHeight="1">
      <c r="A402" s="140" cm="1">
        <f t="array" ref="A402">A401+1</f>
        <v>387</v>
      </c>
      <c r="B402" s="79" t="s">
        <v>822</v>
      </c>
      <c r="C402" s="95">
        <v>3</v>
      </c>
      <c r="D402" s="79" t="s">
        <v>575</v>
      </c>
      <c r="E402" s="79" t="s">
        <v>823</v>
      </c>
      <c r="F402" s="79"/>
      <c r="G402" s="80" t="s">
        <v>113</v>
      </c>
      <c r="H402" s="81">
        <v>32234</v>
      </c>
      <c r="I402" s="82">
        <v>252</v>
      </c>
      <c r="J402" s="98"/>
      <c r="K402" s="100">
        <v>0</v>
      </c>
      <c r="L402" s="150" cm="1">
        <f t="array" ref="L402">WORKDAY(M402,-20)</f>
        <v>46171</v>
      </c>
      <c r="M402" s="85">
        <v>46199</v>
      </c>
      <c r="N402" s="86" cm="1">
        <f t="array" ref="N402">WORKDAY(M402,10)</f>
        <v>46213</v>
      </c>
      <c r="O402" s="87">
        <v>0</v>
      </c>
      <c r="P402" s="88">
        <v>0</v>
      </c>
      <c r="Q402" s="89">
        <v>46167</v>
      </c>
      <c r="R402" s="96">
        <v>46195</v>
      </c>
      <c r="S402" s="86" cm="1">
        <f t="array" ref="S402">WORKDAY(R402,10)</f>
        <v>46209</v>
      </c>
      <c r="T402" s="87">
        <v>0</v>
      </c>
      <c r="U402" s="91" t="s">
        <v>105</v>
      </c>
      <c r="V402" s="92">
        <v>0</v>
      </c>
      <c r="W402" s="93" cm="1">
        <f t="array" ref="W402">WORKDAY(X402,-20)</f>
        <v>46290</v>
      </c>
      <c r="X402" s="90">
        <v>46318</v>
      </c>
      <c r="Y402" s="88">
        <v>0</v>
      </c>
      <c r="Z402" s="93">
        <v>46350</v>
      </c>
      <c r="AA402" s="90">
        <v>46392</v>
      </c>
      <c r="AB402" s="88">
        <v>0</v>
      </c>
      <c r="AC402" s="79" t="s">
        <v>49</v>
      </c>
      <c r="AD402" s="79" t="s">
        <v>49</v>
      </c>
      <c r="AE402" s="90"/>
      <c r="AF402" s="88">
        <v>0</v>
      </c>
      <c r="AG402" s="93" cm="1">
        <f t="array" ref="AG402">WORKDAY(AA402,2)</f>
        <v>46394</v>
      </c>
      <c r="AH402" s="90" cm="1">
        <f t="array" ref="AH402">WORKDAY(AG402,1)</f>
        <v>46395</v>
      </c>
      <c r="AI402" s="86" cm="1">
        <f t="array" ref="AI402">WORKDAY(AH402,1)</f>
        <v>46398</v>
      </c>
      <c r="AJ402" s="145"/>
      <c r="AK402" s="56"/>
    </row>
    <row r="403" spans="1:37" ht="25.5" customHeight="1">
      <c r="A403" s="140" cm="1">
        <f t="array" ref="A403">A402+1</f>
        <v>388</v>
      </c>
      <c r="B403" s="79" t="s">
        <v>824</v>
      </c>
      <c r="C403" s="95">
        <v>3</v>
      </c>
      <c r="D403" s="79" t="s">
        <v>825</v>
      </c>
      <c r="E403" s="79" t="s">
        <v>826</v>
      </c>
      <c r="F403" s="79"/>
      <c r="G403" s="80" t="s">
        <v>113</v>
      </c>
      <c r="H403" s="81">
        <v>41909</v>
      </c>
      <c r="I403" s="82">
        <v>253</v>
      </c>
      <c r="J403" s="98"/>
      <c r="K403" s="88">
        <v>0</v>
      </c>
      <c r="L403" s="93" cm="1">
        <f t="array" ref="L403">WORKDAY(M403,-20)</f>
        <v>46171</v>
      </c>
      <c r="M403" s="102">
        <v>46199</v>
      </c>
      <c r="N403" s="86" cm="1">
        <f t="array" ref="N403">WORKDAY(M403,10)</f>
        <v>46213</v>
      </c>
      <c r="O403" s="87">
        <v>0</v>
      </c>
      <c r="P403" s="88">
        <v>0</v>
      </c>
      <c r="Q403" s="89">
        <v>46167</v>
      </c>
      <c r="R403" s="96">
        <v>46195</v>
      </c>
      <c r="S403" s="86" cm="1">
        <f t="array" ref="S403">WORKDAY(R403,10)</f>
        <v>46209</v>
      </c>
      <c r="T403" s="87">
        <v>0</v>
      </c>
      <c r="U403" s="91" t="s">
        <v>114</v>
      </c>
      <c r="V403" s="92">
        <v>0</v>
      </c>
      <c r="W403" s="93" cm="1">
        <f t="array" ref="W403">WORKDAY(X403,-20)</f>
        <v>46286</v>
      </c>
      <c r="X403" s="90">
        <v>46314</v>
      </c>
      <c r="Y403" s="88">
        <v>0</v>
      </c>
      <c r="Z403" s="93">
        <v>46350</v>
      </c>
      <c r="AA403" s="90">
        <v>46392</v>
      </c>
      <c r="AB403" s="88">
        <v>0</v>
      </c>
      <c r="AC403" s="79" t="s">
        <v>49</v>
      </c>
      <c r="AD403" s="79" t="s">
        <v>49</v>
      </c>
      <c r="AE403" s="90"/>
      <c r="AF403" s="88">
        <v>0</v>
      </c>
      <c r="AG403" s="93" cm="1">
        <f t="array" ref="AG403">WORKDAY(AA403,2)</f>
        <v>46394</v>
      </c>
      <c r="AH403" s="90" cm="1">
        <f t="array" ref="AH403">WORKDAY(AG403,1)</f>
        <v>46395</v>
      </c>
      <c r="AI403" s="86" cm="1">
        <f t="array" ref="AI403">WORKDAY(AH403,1)</f>
        <v>46398</v>
      </c>
      <c r="AJ403" s="145"/>
      <c r="AK403" s="56"/>
    </row>
    <row r="404" spans="1:37" ht="25.5" customHeight="1">
      <c r="A404" s="140" cm="1">
        <f t="array" ref="A404">A403+1</f>
        <v>389</v>
      </c>
      <c r="B404" s="79" t="s">
        <v>827</v>
      </c>
      <c r="C404" s="95">
        <v>3</v>
      </c>
      <c r="D404" s="79" t="s">
        <v>825</v>
      </c>
      <c r="E404" s="79" t="s">
        <v>828</v>
      </c>
      <c r="F404" s="79"/>
      <c r="G404" s="80" t="s">
        <v>113</v>
      </c>
      <c r="H404" s="81">
        <v>41909</v>
      </c>
      <c r="I404" s="82">
        <v>254</v>
      </c>
      <c r="J404" s="98"/>
      <c r="K404" s="100">
        <v>0</v>
      </c>
      <c r="L404" s="112" cm="1">
        <f t="array" ref="L404">WORKDAY(M404,-20)</f>
        <v>46171</v>
      </c>
      <c r="M404" s="85">
        <v>46199</v>
      </c>
      <c r="N404" s="86" cm="1">
        <f t="array" ref="N404">WORKDAY(M404,10)</f>
        <v>46213</v>
      </c>
      <c r="O404" s="87">
        <v>0</v>
      </c>
      <c r="P404" s="88">
        <v>0</v>
      </c>
      <c r="Q404" s="89">
        <v>46167</v>
      </c>
      <c r="R404" s="96">
        <v>46195</v>
      </c>
      <c r="S404" s="86" cm="1">
        <f t="array" ref="S404">WORKDAY(R404,10)</f>
        <v>46209</v>
      </c>
      <c r="T404" s="87">
        <v>0</v>
      </c>
      <c r="U404" s="91" t="s">
        <v>114</v>
      </c>
      <c r="V404" s="92">
        <v>0</v>
      </c>
      <c r="W404" s="93" cm="1">
        <f t="array" ref="W404">WORKDAY(X404,-20)</f>
        <v>46287</v>
      </c>
      <c r="X404" s="90">
        <v>46315</v>
      </c>
      <c r="Y404" s="88">
        <v>0</v>
      </c>
      <c r="Z404" s="93">
        <v>46351</v>
      </c>
      <c r="AA404" s="90">
        <v>46393</v>
      </c>
      <c r="AB404" s="88">
        <v>0</v>
      </c>
      <c r="AC404" s="79" t="s">
        <v>49</v>
      </c>
      <c r="AD404" s="79" t="s">
        <v>49</v>
      </c>
      <c r="AE404" s="90"/>
      <c r="AF404" s="88">
        <v>0</v>
      </c>
      <c r="AG404" s="93" cm="1">
        <f t="array" ref="AG404">WORKDAY(AA404,2)</f>
        <v>46395</v>
      </c>
      <c r="AH404" s="90" cm="1">
        <f t="array" ref="AH404">WORKDAY(AG404,1)</f>
        <v>46398</v>
      </c>
      <c r="AI404" s="86" cm="1">
        <f t="array" ref="AI404">WORKDAY(AH404,1)</f>
        <v>46399</v>
      </c>
      <c r="AJ404" s="145"/>
      <c r="AK404" s="56"/>
    </row>
    <row r="405" spans="1:37" ht="25.5" customHeight="1">
      <c r="A405" s="140" cm="1">
        <f t="array" ref="A405">A404+1</f>
        <v>390</v>
      </c>
      <c r="B405" s="79" t="s">
        <v>829</v>
      </c>
      <c r="C405" s="95">
        <v>3</v>
      </c>
      <c r="D405" s="79" t="s">
        <v>825</v>
      </c>
      <c r="E405" s="79" t="s">
        <v>830</v>
      </c>
      <c r="F405" s="79"/>
      <c r="G405" s="80" t="s">
        <v>113</v>
      </c>
      <c r="H405" s="81">
        <v>41909</v>
      </c>
      <c r="I405" s="82">
        <v>255</v>
      </c>
      <c r="J405" s="98"/>
      <c r="K405" s="100">
        <v>0</v>
      </c>
      <c r="L405" s="105" cm="1">
        <f t="array" ref="L405">WORKDAY(M405,-20)</f>
        <v>46171</v>
      </c>
      <c r="M405" s="85">
        <v>46199</v>
      </c>
      <c r="N405" s="86" cm="1">
        <f t="array" ref="N405">WORKDAY(M405,10)</f>
        <v>46213</v>
      </c>
      <c r="O405" s="87">
        <v>0</v>
      </c>
      <c r="P405" s="88">
        <v>0</v>
      </c>
      <c r="Q405" s="89">
        <v>46167</v>
      </c>
      <c r="R405" s="96">
        <v>46195</v>
      </c>
      <c r="S405" s="86" cm="1">
        <f t="array" ref="S405">WORKDAY(R405,10)</f>
        <v>46209</v>
      </c>
      <c r="T405" s="87">
        <v>0</v>
      </c>
      <c r="U405" s="91" t="s">
        <v>114</v>
      </c>
      <c r="V405" s="92">
        <v>0</v>
      </c>
      <c r="W405" s="93" cm="1">
        <f t="array" ref="W405">WORKDAY(X405,-20)</f>
        <v>46287</v>
      </c>
      <c r="X405" s="90">
        <v>46315</v>
      </c>
      <c r="Y405" s="88">
        <v>0</v>
      </c>
      <c r="Z405" s="93">
        <v>46351</v>
      </c>
      <c r="AA405" s="90">
        <v>46393</v>
      </c>
      <c r="AB405" s="88">
        <v>0</v>
      </c>
      <c r="AC405" s="79" t="s">
        <v>49</v>
      </c>
      <c r="AD405" s="79" t="s">
        <v>49</v>
      </c>
      <c r="AE405" s="90"/>
      <c r="AF405" s="88">
        <v>0</v>
      </c>
      <c r="AG405" s="93" cm="1">
        <f t="array" ref="AG405">WORKDAY(AA405,2)</f>
        <v>46395</v>
      </c>
      <c r="AH405" s="90" cm="1">
        <f t="array" ref="AH405">WORKDAY(AG405,1)</f>
        <v>46398</v>
      </c>
      <c r="AI405" s="86" cm="1">
        <f t="array" ref="AI405">WORKDAY(AH405,1)</f>
        <v>46399</v>
      </c>
      <c r="AJ405" s="145"/>
      <c r="AK405" s="56"/>
    </row>
    <row r="406" spans="1:37" ht="25.5" customHeight="1">
      <c r="A406" s="140" cm="1">
        <f t="array" ref="A406">A405+1</f>
        <v>391</v>
      </c>
      <c r="B406" s="79" t="s">
        <v>831</v>
      </c>
      <c r="C406" s="95">
        <v>3</v>
      </c>
      <c r="D406" s="79" t="s">
        <v>825</v>
      </c>
      <c r="E406" s="79" t="s">
        <v>832</v>
      </c>
      <c r="F406" s="79"/>
      <c r="G406" s="80" t="s">
        <v>113</v>
      </c>
      <c r="H406" s="81">
        <v>41909</v>
      </c>
      <c r="I406" s="82">
        <v>256</v>
      </c>
      <c r="J406" s="98"/>
      <c r="K406" s="100">
        <v>0</v>
      </c>
      <c r="L406" s="105" cm="1">
        <f t="array" ref="L406">WORKDAY(M406,-20)</f>
        <v>46171</v>
      </c>
      <c r="M406" s="85">
        <v>46199</v>
      </c>
      <c r="N406" s="86" cm="1">
        <f t="array" ref="N406">WORKDAY(M406,10)</f>
        <v>46213</v>
      </c>
      <c r="O406" s="87">
        <v>0</v>
      </c>
      <c r="P406" s="88">
        <v>0</v>
      </c>
      <c r="Q406" s="89">
        <v>46167</v>
      </c>
      <c r="R406" s="96">
        <v>46195</v>
      </c>
      <c r="S406" s="86" cm="1">
        <f t="array" ref="S406">WORKDAY(R406,10)</f>
        <v>46209</v>
      </c>
      <c r="T406" s="87">
        <v>0</v>
      </c>
      <c r="U406" s="91" t="s">
        <v>105</v>
      </c>
      <c r="V406" s="92">
        <v>0</v>
      </c>
      <c r="W406" s="93" cm="1">
        <f t="array" ref="W406">WORKDAY(X406,-20)</f>
        <v>46290</v>
      </c>
      <c r="X406" s="90">
        <v>46318</v>
      </c>
      <c r="Y406" s="88">
        <v>0</v>
      </c>
      <c r="Z406" s="93">
        <v>46351</v>
      </c>
      <c r="AA406" s="90">
        <v>46393</v>
      </c>
      <c r="AB406" s="88">
        <v>0</v>
      </c>
      <c r="AC406" s="79" t="s">
        <v>49</v>
      </c>
      <c r="AD406" s="79" t="s">
        <v>49</v>
      </c>
      <c r="AE406" s="90"/>
      <c r="AF406" s="88">
        <v>0</v>
      </c>
      <c r="AG406" s="93" cm="1">
        <f t="array" ref="AG406">WORKDAY(AA406,2)</f>
        <v>46395</v>
      </c>
      <c r="AH406" s="90" cm="1">
        <f t="array" ref="AH406">WORKDAY(AG406,1)</f>
        <v>46398</v>
      </c>
      <c r="AI406" s="86" cm="1">
        <f t="array" ref="AI406">WORKDAY(AH406,1)</f>
        <v>46399</v>
      </c>
      <c r="AJ406" s="145"/>
      <c r="AK406" s="56"/>
    </row>
    <row r="407" spans="1:37" ht="25.5" customHeight="1">
      <c r="A407" s="140" cm="1">
        <f t="array" ref="A407">A406+1</f>
        <v>392</v>
      </c>
      <c r="B407" s="79" t="s">
        <v>833</v>
      </c>
      <c r="C407" s="95">
        <v>3</v>
      </c>
      <c r="D407" s="79" t="s">
        <v>825</v>
      </c>
      <c r="E407" s="79" t="s">
        <v>834</v>
      </c>
      <c r="F407" s="79"/>
      <c r="G407" s="80" t="s">
        <v>113</v>
      </c>
      <c r="H407" s="81">
        <v>41909</v>
      </c>
      <c r="I407" s="82">
        <v>257</v>
      </c>
      <c r="J407" s="98"/>
      <c r="K407" s="100">
        <v>0</v>
      </c>
      <c r="L407" s="105" cm="1">
        <f t="array" ref="L407">WORKDAY(M407,-20)</f>
        <v>46171</v>
      </c>
      <c r="M407" s="85">
        <v>46199</v>
      </c>
      <c r="N407" s="86" cm="1">
        <f t="array" ref="N407">WORKDAY(M407,10)</f>
        <v>46213</v>
      </c>
      <c r="O407" s="87">
        <v>0</v>
      </c>
      <c r="P407" s="88">
        <v>0</v>
      </c>
      <c r="Q407" s="89">
        <v>46167</v>
      </c>
      <c r="R407" s="96">
        <v>46195</v>
      </c>
      <c r="S407" s="86" cm="1">
        <f t="array" ref="S407">WORKDAY(R407,10)</f>
        <v>46209</v>
      </c>
      <c r="T407" s="87">
        <v>0</v>
      </c>
      <c r="U407" s="91" t="s">
        <v>105</v>
      </c>
      <c r="V407" s="92">
        <v>0</v>
      </c>
      <c r="W407" s="93" cm="1">
        <f t="array" ref="W407">WORKDAY(X407,-20)</f>
        <v>46290</v>
      </c>
      <c r="X407" s="90">
        <v>46318</v>
      </c>
      <c r="Y407" s="88">
        <v>0</v>
      </c>
      <c r="Z407" s="93">
        <v>46352</v>
      </c>
      <c r="AA407" s="90">
        <v>46394</v>
      </c>
      <c r="AB407" s="88">
        <v>0</v>
      </c>
      <c r="AC407" s="79" t="s">
        <v>49</v>
      </c>
      <c r="AD407" s="79" t="s">
        <v>49</v>
      </c>
      <c r="AE407" s="90"/>
      <c r="AF407" s="88">
        <v>0</v>
      </c>
      <c r="AG407" s="93" cm="1">
        <f t="array" ref="AG407">WORKDAY(AA407,2)</f>
        <v>46398</v>
      </c>
      <c r="AH407" s="90" cm="1">
        <f t="array" ref="AH407">WORKDAY(AG407,1)</f>
        <v>46399</v>
      </c>
      <c r="AI407" s="86" cm="1">
        <f t="array" ref="AI407">WORKDAY(AH407,1)</f>
        <v>46400</v>
      </c>
      <c r="AJ407" s="145"/>
      <c r="AK407" s="56"/>
    </row>
    <row r="408" spans="1:37" ht="25.5" customHeight="1">
      <c r="A408" s="140" cm="1">
        <f t="array" ref="A408">A407+1</f>
        <v>393</v>
      </c>
      <c r="B408" s="79" t="s">
        <v>835</v>
      </c>
      <c r="C408" s="95">
        <v>3</v>
      </c>
      <c r="D408" s="79" t="s">
        <v>825</v>
      </c>
      <c r="E408" s="79" t="s">
        <v>836</v>
      </c>
      <c r="F408" s="79"/>
      <c r="G408" s="80" t="s">
        <v>113</v>
      </c>
      <c r="H408" s="81">
        <v>41909</v>
      </c>
      <c r="I408" s="82">
        <v>259</v>
      </c>
      <c r="J408" s="98"/>
      <c r="K408" s="100">
        <v>0</v>
      </c>
      <c r="L408" s="105" cm="1">
        <f t="array" ref="L408">WORKDAY(M408,-20)</f>
        <v>46171</v>
      </c>
      <c r="M408" s="85">
        <v>46199</v>
      </c>
      <c r="N408" s="86" cm="1">
        <f t="array" ref="N408">WORKDAY(M408,10)</f>
        <v>46213</v>
      </c>
      <c r="O408" s="87">
        <v>0</v>
      </c>
      <c r="P408" s="88">
        <v>0</v>
      </c>
      <c r="Q408" s="89">
        <v>46167</v>
      </c>
      <c r="R408" s="96">
        <v>46195</v>
      </c>
      <c r="S408" s="86" cm="1">
        <f t="array" ref="S408">WORKDAY(R408,10)</f>
        <v>46209</v>
      </c>
      <c r="T408" s="87">
        <v>0</v>
      </c>
      <c r="U408" s="91" t="s">
        <v>105</v>
      </c>
      <c r="V408" s="92">
        <v>0</v>
      </c>
      <c r="W408" s="93" cm="1">
        <f t="array" ref="W408">WORKDAY(X408,-20)</f>
        <v>46293</v>
      </c>
      <c r="X408" s="90">
        <v>46321</v>
      </c>
      <c r="Y408" s="88">
        <v>0</v>
      </c>
      <c r="Z408" s="93">
        <v>46352</v>
      </c>
      <c r="AA408" s="90">
        <v>46394</v>
      </c>
      <c r="AB408" s="88">
        <v>0</v>
      </c>
      <c r="AC408" s="79" t="s">
        <v>49</v>
      </c>
      <c r="AD408" s="79" t="s">
        <v>49</v>
      </c>
      <c r="AE408" s="90"/>
      <c r="AF408" s="88">
        <v>0</v>
      </c>
      <c r="AG408" s="93" cm="1">
        <f t="array" ref="AG408">WORKDAY(AA408,2)</f>
        <v>46398</v>
      </c>
      <c r="AH408" s="90" cm="1">
        <f t="array" ref="AH408">WORKDAY(AG408,1)</f>
        <v>46399</v>
      </c>
      <c r="AI408" s="86" cm="1">
        <f t="array" ref="AI408">WORKDAY(AH408,1)</f>
        <v>46400</v>
      </c>
      <c r="AJ408" s="145"/>
      <c r="AK408" s="56"/>
    </row>
    <row r="409" spans="1:37" ht="25.5" customHeight="1">
      <c r="A409" s="140" cm="1">
        <f t="array" ref="A409">A408+1</f>
        <v>394</v>
      </c>
      <c r="B409" s="79" t="s">
        <v>837</v>
      </c>
      <c r="C409" s="95">
        <v>3</v>
      </c>
      <c r="D409" s="79" t="s">
        <v>838</v>
      </c>
      <c r="E409" s="79" t="s">
        <v>839</v>
      </c>
      <c r="F409" s="79"/>
      <c r="G409" s="80" t="s">
        <v>654</v>
      </c>
      <c r="H409" s="81">
        <v>66798</v>
      </c>
      <c r="I409" s="82">
        <v>260</v>
      </c>
      <c r="J409" s="98"/>
      <c r="K409" s="100">
        <v>0</v>
      </c>
      <c r="L409" s="150" cm="1">
        <f t="array" ref="L409">WORKDAY(M409,-20)</f>
        <v>46171</v>
      </c>
      <c r="M409" s="85">
        <v>46199</v>
      </c>
      <c r="N409" s="86" cm="1">
        <f t="array" ref="N409">WORKDAY(M409,10)</f>
        <v>46213</v>
      </c>
      <c r="O409" s="87">
        <v>0</v>
      </c>
      <c r="P409" s="88">
        <v>0</v>
      </c>
      <c r="Q409" s="89">
        <v>46167</v>
      </c>
      <c r="R409" s="96">
        <v>46195</v>
      </c>
      <c r="S409" s="86" cm="1">
        <f t="array" ref="S409">WORKDAY(R409,10)</f>
        <v>46209</v>
      </c>
      <c r="T409" s="87">
        <v>0</v>
      </c>
      <c r="U409" s="91" t="s">
        <v>105</v>
      </c>
      <c r="V409" s="92">
        <v>0</v>
      </c>
      <c r="W409" s="93" cm="1">
        <f t="array" ref="W409">WORKDAY(X409,-20)</f>
        <v>46293</v>
      </c>
      <c r="X409" s="90">
        <v>46321</v>
      </c>
      <c r="Y409" s="88">
        <v>0</v>
      </c>
      <c r="Z409" s="93">
        <v>46352</v>
      </c>
      <c r="AA409" s="90">
        <v>46394</v>
      </c>
      <c r="AB409" s="88">
        <v>0</v>
      </c>
      <c r="AC409" s="79" t="s">
        <v>49</v>
      </c>
      <c r="AD409" s="79" t="s">
        <v>49</v>
      </c>
      <c r="AE409" s="90"/>
      <c r="AF409" s="88">
        <v>0</v>
      </c>
      <c r="AG409" s="93" cm="1">
        <f t="array" ref="AG409">WORKDAY(AA409,2)</f>
        <v>46398</v>
      </c>
      <c r="AH409" s="90" cm="1">
        <f t="array" ref="AH409">WORKDAY(AG409,1)</f>
        <v>46399</v>
      </c>
      <c r="AI409" s="86" cm="1">
        <f t="array" ref="AI409">WORKDAY(AH409,1)</f>
        <v>46400</v>
      </c>
      <c r="AJ409" s="145"/>
      <c r="AK409" s="56"/>
    </row>
    <row r="410" spans="1:37" ht="25.5" customHeight="1">
      <c r="A410" s="140" cm="1">
        <f t="array" ref="A410">A409+1</f>
        <v>395</v>
      </c>
      <c r="B410" s="79" t="s">
        <v>840</v>
      </c>
      <c r="C410" s="95">
        <v>3</v>
      </c>
      <c r="D410" s="79" t="s">
        <v>841</v>
      </c>
      <c r="E410" s="79" t="s">
        <v>842</v>
      </c>
      <c r="F410" s="79"/>
      <c r="G410" s="80" t="s">
        <v>654</v>
      </c>
      <c r="H410" s="81">
        <v>51377</v>
      </c>
      <c r="I410" s="82">
        <v>261</v>
      </c>
      <c r="J410" s="98"/>
      <c r="K410" s="88">
        <v>0</v>
      </c>
      <c r="L410" s="93" cm="1">
        <f t="array" ref="L410">WORKDAY(M410,-20)</f>
        <v>46171</v>
      </c>
      <c r="M410" s="102">
        <v>46199</v>
      </c>
      <c r="N410" s="86" cm="1">
        <f t="array" ref="N410">WORKDAY(M410,10)</f>
        <v>46213</v>
      </c>
      <c r="O410" s="87">
        <v>0</v>
      </c>
      <c r="P410" s="88">
        <v>0</v>
      </c>
      <c r="Q410" s="89">
        <v>46167</v>
      </c>
      <c r="R410" s="96">
        <v>46195</v>
      </c>
      <c r="S410" s="86" cm="1">
        <f t="array" ref="S410">WORKDAY(R410,10)</f>
        <v>46209</v>
      </c>
      <c r="T410" s="87">
        <v>0</v>
      </c>
      <c r="U410" s="91" t="s">
        <v>105</v>
      </c>
      <c r="V410" s="92">
        <v>0</v>
      </c>
      <c r="W410" s="93" cm="1">
        <f t="array" ref="W410">WORKDAY(X410,-20)</f>
        <v>46293</v>
      </c>
      <c r="X410" s="90">
        <v>46321</v>
      </c>
      <c r="Y410" s="88">
        <v>0</v>
      </c>
      <c r="Z410" s="93">
        <v>46353</v>
      </c>
      <c r="AA410" s="90">
        <v>46395</v>
      </c>
      <c r="AB410" s="88">
        <v>0</v>
      </c>
      <c r="AC410" s="79" t="s">
        <v>49</v>
      </c>
      <c r="AD410" s="79" t="s">
        <v>49</v>
      </c>
      <c r="AE410" s="90"/>
      <c r="AF410" s="88">
        <v>0</v>
      </c>
      <c r="AG410" s="93" cm="1">
        <f t="array" ref="AG410">WORKDAY(AA410,2)</f>
        <v>46399</v>
      </c>
      <c r="AH410" s="90" cm="1">
        <f t="array" ref="AH410">WORKDAY(AG410,1)</f>
        <v>46400</v>
      </c>
      <c r="AI410" s="86" cm="1">
        <f t="array" ref="AI410">WORKDAY(AH410,1)</f>
        <v>46401</v>
      </c>
      <c r="AJ410" s="145"/>
      <c r="AK410" s="56"/>
    </row>
    <row r="411" spans="1:37" ht="25.5" customHeight="1">
      <c r="A411" s="140" cm="1">
        <f t="array" ref="A411">A410+1</f>
        <v>396</v>
      </c>
      <c r="B411" s="79" t="s">
        <v>843</v>
      </c>
      <c r="C411" s="95">
        <v>3</v>
      </c>
      <c r="D411" s="79" t="s">
        <v>844</v>
      </c>
      <c r="E411" s="79" t="s">
        <v>845</v>
      </c>
      <c r="F411" s="79"/>
      <c r="G411" s="80" t="s">
        <v>654</v>
      </c>
      <c r="H411" s="81">
        <v>66798</v>
      </c>
      <c r="I411" s="82">
        <v>262</v>
      </c>
      <c r="J411" s="98"/>
      <c r="K411" s="88">
        <v>0</v>
      </c>
      <c r="L411" s="93" cm="1">
        <f t="array" ref="L411">WORKDAY(M411,-20)</f>
        <v>46171</v>
      </c>
      <c r="M411" s="102">
        <v>46199</v>
      </c>
      <c r="N411" s="86" cm="1">
        <f t="array" ref="N411">WORKDAY(M411,10)</f>
        <v>46213</v>
      </c>
      <c r="O411" s="87">
        <v>0</v>
      </c>
      <c r="P411" s="88">
        <v>0</v>
      </c>
      <c r="Q411" s="89">
        <v>46167</v>
      </c>
      <c r="R411" s="96">
        <v>46195</v>
      </c>
      <c r="S411" s="86" cm="1">
        <f t="array" ref="S411">WORKDAY(R411,10)</f>
        <v>46209</v>
      </c>
      <c r="T411" s="87">
        <v>0</v>
      </c>
      <c r="U411" s="91" t="s">
        <v>105</v>
      </c>
      <c r="V411" s="92">
        <v>0</v>
      </c>
      <c r="W411" s="93" cm="1">
        <f t="array" ref="W411">WORKDAY(X411,-20)</f>
        <v>46294</v>
      </c>
      <c r="X411" s="90">
        <v>46322</v>
      </c>
      <c r="Y411" s="88">
        <v>0</v>
      </c>
      <c r="Z411" s="93">
        <v>46353</v>
      </c>
      <c r="AA411" s="90">
        <v>46395</v>
      </c>
      <c r="AB411" s="88">
        <v>0</v>
      </c>
      <c r="AC411" s="79" t="s">
        <v>49</v>
      </c>
      <c r="AD411" s="79" t="s">
        <v>49</v>
      </c>
      <c r="AE411" s="90"/>
      <c r="AF411" s="88">
        <v>0</v>
      </c>
      <c r="AG411" s="93" cm="1">
        <f t="array" ref="AG411">WORKDAY(AA411,2)</f>
        <v>46399</v>
      </c>
      <c r="AH411" s="90" cm="1">
        <f t="array" ref="AH411">WORKDAY(AG411,1)</f>
        <v>46400</v>
      </c>
      <c r="AI411" s="86" cm="1">
        <f t="array" ref="AI411">WORKDAY(AH411,1)</f>
        <v>46401</v>
      </c>
      <c r="AJ411" s="145"/>
      <c r="AK411" s="56"/>
    </row>
    <row r="412" spans="1:37" ht="25.5" customHeight="1">
      <c r="A412" s="140" cm="1">
        <f t="array" ref="A412">A411+1</f>
        <v>397</v>
      </c>
      <c r="B412" s="79" t="s">
        <v>846</v>
      </c>
      <c r="C412" s="95">
        <v>3</v>
      </c>
      <c r="D412" s="79" t="s">
        <v>847</v>
      </c>
      <c r="E412" s="79" t="s">
        <v>848</v>
      </c>
      <c r="F412" s="79"/>
      <c r="G412" s="80" t="s">
        <v>654</v>
      </c>
      <c r="H412" s="81">
        <v>50950</v>
      </c>
      <c r="I412" s="82">
        <v>263</v>
      </c>
      <c r="J412" s="98"/>
      <c r="K412" s="88">
        <v>0</v>
      </c>
      <c r="L412" s="93" cm="1">
        <f t="array" ref="L412">WORKDAY(M412,-20)</f>
        <v>46171</v>
      </c>
      <c r="M412" s="102">
        <v>46199</v>
      </c>
      <c r="N412" s="86" cm="1">
        <f t="array" ref="N412">WORKDAY(M412,10)</f>
        <v>46213</v>
      </c>
      <c r="O412" s="87">
        <v>0</v>
      </c>
      <c r="P412" s="88">
        <v>0</v>
      </c>
      <c r="Q412" s="89">
        <v>46167</v>
      </c>
      <c r="R412" s="96">
        <v>46195</v>
      </c>
      <c r="S412" s="86" cm="1">
        <f t="array" ref="S412">WORKDAY(R412,10)</f>
        <v>46209</v>
      </c>
      <c r="T412" s="87">
        <v>0</v>
      </c>
      <c r="U412" s="91" t="s">
        <v>105</v>
      </c>
      <c r="V412" s="92">
        <v>0</v>
      </c>
      <c r="W412" s="93" cm="1">
        <f t="array" ref="W412">WORKDAY(X412,-20)</f>
        <v>46294</v>
      </c>
      <c r="X412" s="90">
        <v>46322</v>
      </c>
      <c r="Y412" s="88">
        <v>0</v>
      </c>
      <c r="Z412" s="93">
        <v>46353</v>
      </c>
      <c r="AA412" s="90">
        <v>46395</v>
      </c>
      <c r="AB412" s="88">
        <v>0</v>
      </c>
      <c r="AC412" s="79" t="s">
        <v>49</v>
      </c>
      <c r="AD412" s="79" t="s">
        <v>49</v>
      </c>
      <c r="AE412" s="90"/>
      <c r="AF412" s="88">
        <v>0</v>
      </c>
      <c r="AG412" s="93" cm="1">
        <f t="array" ref="AG412">WORKDAY(AA412,2)</f>
        <v>46399</v>
      </c>
      <c r="AH412" s="90" cm="1">
        <f t="array" ref="AH412">WORKDAY(AG412,1)</f>
        <v>46400</v>
      </c>
      <c r="AI412" s="86" cm="1">
        <f t="array" ref="AI412">WORKDAY(AH412,1)</f>
        <v>46401</v>
      </c>
      <c r="AJ412" s="145"/>
      <c r="AK412" s="56"/>
    </row>
    <row r="413" spans="1:37" ht="25.5" customHeight="1">
      <c r="A413" s="140" cm="1">
        <f t="array" ref="A413">A412+1</f>
        <v>398</v>
      </c>
      <c r="B413" s="79" t="s">
        <v>849</v>
      </c>
      <c r="C413" s="95">
        <v>3</v>
      </c>
      <c r="D413" s="79" t="s">
        <v>847</v>
      </c>
      <c r="E413" s="79" t="s">
        <v>850</v>
      </c>
      <c r="F413" s="79"/>
      <c r="G413" s="80" t="s">
        <v>654</v>
      </c>
      <c r="H413" s="81">
        <v>50950</v>
      </c>
      <c r="I413" s="82">
        <v>264</v>
      </c>
      <c r="J413" s="98"/>
      <c r="K413" s="88">
        <v>0</v>
      </c>
      <c r="L413" s="93" cm="1">
        <f t="array" ref="L413">WORKDAY(M413,-20)</f>
        <v>46171</v>
      </c>
      <c r="M413" s="102">
        <v>46199</v>
      </c>
      <c r="N413" s="86" cm="1">
        <f t="array" ref="N413">WORKDAY(M413,10)</f>
        <v>46213</v>
      </c>
      <c r="O413" s="87">
        <v>0</v>
      </c>
      <c r="P413" s="88">
        <v>0</v>
      </c>
      <c r="Q413" s="89">
        <v>46167</v>
      </c>
      <c r="R413" s="96">
        <v>46195</v>
      </c>
      <c r="S413" s="86" cm="1">
        <f t="array" ref="S413">WORKDAY(R413,10)</f>
        <v>46209</v>
      </c>
      <c r="T413" s="87">
        <v>0</v>
      </c>
      <c r="U413" s="91" t="s">
        <v>105</v>
      </c>
      <c r="V413" s="92">
        <v>0</v>
      </c>
      <c r="W413" s="93" cm="1">
        <f t="array" ref="W413">WORKDAY(X413,-20)</f>
        <v>46295</v>
      </c>
      <c r="X413" s="90">
        <v>46323</v>
      </c>
      <c r="Y413" s="88">
        <v>0</v>
      </c>
      <c r="Z413" s="93">
        <v>46356</v>
      </c>
      <c r="AA413" s="90">
        <v>46398</v>
      </c>
      <c r="AB413" s="88">
        <v>0</v>
      </c>
      <c r="AC413" s="79" t="s">
        <v>49</v>
      </c>
      <c r="AD413" s="79" t="s">
        <v>49</v>
      </c>
      <c r="AE413" s="90"/>
      <c r="AF413" s="88">
        <v>0</v>
      </c>
      <c r="AG413" s="93" cm="1">
        <f t="array" ref="AG413">WORKDAY(AA413,2)</f>
        <v>46400</v>
      </c>
      <c r="AH413" s="90" cm="1">
        <f t="array" ref="AH413">WORKDAY(AG413,1)</f>
        <v>46401</v>
      </c>
      <c r="AI413" s="86" cm="1">
        <f t="array" ref="AI413">WORKDAY(AH413,1)</f>
        <v>46402</v>
      </c>
      <c r="AJ413" s="145"/>
      <c r="AK413" s="56"/>
    </row>
    <row r="414" spans="1:37" ht="25.5" customHeight="1">
      <c r="A414" s="140" cm="1">
        <f t="array" ref="A414">A413+1</f>
        <v>399</v>
      </c>
      <c r="B414" s="79" t="s">
        <v>851</v>
      </c>
      <c r="C414" s="95">
        <v>3</v>
      </c>
      <c r="D414" s="79" t="s">
        <v>847</v>
      </c>
      <c r="E414" s="79" t="s">
        <v>852</v>
      </c>
      <c r="F414" s="79"/>
      <c r="G414" s="80" t="s">
        <v>654</v>
      </c>
      <c r="H414" s="81">
        <v>50950</v>
      </c>
      <c r="I414" s="82">
        <v>265</v>
      </c>
      <c r="J414" s="98"/>
      <c r="K414" s="88">
        <v>0</v>
      </c>
      <c r="L414" s="93" cm="1">
        <f t="array" ref="L414">WORKDAY(M414,-20)</f>
        <v>46171</v>
      </c>
      <c r="M414" s="102">
        <v>46199</v>
      </c>
      <c r="N414" s="86" cm="1">
        <f t="array" ref="N414">WORKDAY(M414,10)</f>
        <v>46213</v>
      </c>
      <c r="O414" s="87">
        <v>0</v>
      </c>
      <c r="P414" s="88">
        <v>0</v>
      </c>
      <c r="Q414" s="89">
        <v>46167</v>
      </c>
      <c r="R414" s="96">
        <v>46195</v>
      </c>
      <c r="S414" s="86" cm="1">
        <f t="array" ref="S414">WORKDAY(R414,10)</f>
        <v>46209</v>
      </c>
      <c r="T414" s="87">
        <v>0</v>
      </c>
      <c r="U414" s="91" t="s">
        <v>105</v>
      </c>
      <c r="V414" s="92">
        <v>0</v>
      </c>
      <c r="W414" s="93" cm="1">
        <f t="array" ref="W414">WORKDAY(X414,-20)</f>
        <v>46295</v>
      </c>
      <c r="X414" s="90">
        <v>46323</v>
      </c>
      <c r="Y414" s="88">
        <v>0</v>
      </c>
      <c r="Z414" s="93">
        <v>46356</v>
      </c>
      <c r="AA414" s="90">
        <v>46398</v>
      </c>
      <c r="AB414" s="88">
        <v>0</v>
      </c>
      <c r="AC414" s="79" t="s">
        <v>49</v>
      </c>
      <c r="AD414" s="79" t="s">
        <v>49</v>
      </c>
      <c r="AE414" s="90"/>
      <c r="AF414" s="88">
        <v>0</v>
      </c>
      <c r="AG414" s="93" cm="1">
        <f t="array" ref="AG414">WORKDAY(AA414,2)</f>
        <v>46400</v>
      </c>
      <c r="AH414" s="90" cm="1">
        <f t="array" ref="AH414">WORKDAY(AG414,1)</f>
        <v>46401</v>
      </c>
      <c r="AI414" s="86" cm="1">
        <f t="array" ref="AI414">WORKDAY(AH414,1)</f>
        <v>46402</v>
      </c>
      <c r="AJ414" s="145"/>
      <c r="AK414" s="56"/>
    </row>
    <row r="415" spans="1:37" ht="25.5" customHeight="1">
      <c r="A415" s="140" cm="1">
        <f t="array" ref="A415">A414+1</f>
        <v>400</v>
      </c>
      <c r="B415" s="79" t="s">
        <v>853</v>
      </c>
      <c r="C415" s="95">
        <v>3</v>
      </c>
      <c r="D415" s="79" t="s">
        <v>847</v>
      </c>
      <c r="E415" s="79" t="s">
        <v>854</v>
      </c>
      <c r="F415" s="79"/>
      <c r="G415" s="80" t="s">
        <v>654</v>
      </c>
      <c r="H415" s="81">
        <v>50950</v>
      </c>
      <c r="I415" s="82">
        <v>266</v>
      </c>
      <c r="J415" s="98"/>
      <c r="K415" s="88">
        <v>0</v>
      </c>
      <c r="L415" s="93" cm="1">
        <f t="array" ref="L415">WORKDAY(M415,-20)</f>
        <v>46171</v>
      </c>
      <c r="M415" s="102">
        <v>46199</v>
      </c>
      <c r="N415" s="86" cm="1">
        <f t="array" ref="N415">WORKDAY(M415,10)</f>
        <v>46213</v>
      </c>
      <c r="O415" s="87">
        <v>0</v>
      </c>
      <c r="P415" s="88">
        <v>0</v>
      </c>
      <c r="Q415" s="89">
        <v>46167</v>
      </c>
      <c r="R415" s="96">
        <v>46195</v>
      </c>
      <c r="S415" s="86" cm="1">
        <f t="array" ref="S415">WORKDAY(R415,10)</f>
        <v>46209</v>
      </c>
      <c r="T415" s="87">
        <v>0</v>
      </c>
      <c r="U415" s="91" t="s">
        <v>105</v>
      </c>
      <c r="V415" s="92">
        <v>0</v>
      </c>
      <c r="W415" s="93" cm="1">
        <f t="array" ref="W415">WORKDAY(X415,-20)</f>
        <v>46296</v>
      </c>
      <c r="X415" s="90">
        <v>46324</v>
      </c>
      <c r="Y415" s="88">
        <v>0</v>
      </c>
      <c r="Z415" s="93">
        <v>46356</v>
      </c>
      <c r="AA415" s="90">
        <v>46398</v>
      </c>
      <c r="AB415" s="88">
        <v>0</v>
      </c>
      <c r="AC415" s="79" t="s">
        <v>49</v>
      </c>
      <c r="AD415" s="79" t="s">
        <v>49</v>
      </c>
      <c r="AE415" s="90"/>
      <c r="AF415" s="88">
        <v>0</v>
      </c>
      <c r="AG415" s="93" cm="1">
        <f t="array" ref="AG415">WORKDAY(AA415,2)</f>
        <v>46400</v>
      </c>
      <c r="AH415" s="90" cm="1">
        <f t="array" ref="AH415">WORKDAY(AG415,1)</f>
        <v>46401</v>
      </c>
      <c r="AI415" s="86" cm="1">
        <f t="array" ref="AI415">WORKDAY(AH415,1)</f>
        <v>46402</v>
      </c>
      <c r="AJ415" s="145"/>
      <c r="AK415" s="56"/>
    </row>
    <row r="416" spans="1:37" ht="25.5" customHeight="1">
      <c r="A416" s="140" cm="1">
        <f t="array" ref="A416">A415+1</f>
        <v>401</v>
      </c>
      <c r="B416" s="79" t="s">
        <v>855</v>
      </c>
      <c r="C416" s="95">
        <v>3</v>
      </c>
      <c r="D416" s="79" t="s">
        <v>856</v>
      </c>
      <c r="E416" s="79" t="s">
        <v>857</v>
      </c>
      <c r="F416" s="79"/>
      <c r="G416" s="80" t="s">
        <v>654</v>
      </c>
      <c r="H416" s="81">
        <v>66243</v>
      </c>
      <c r="I416" s="82">
        <v>267</v>
      </c>
      <c r="J416" s="98"/>
      <c r="K416" s="88">
        <v>0</v>
      </c>
      <c r="L416" s="93" cm="1">
        <f t="array" ref="L416">WORKDAY(M416,-20)</f>
        <v>46171</v>
      </c>
      <c r="M416" s="102">
        <v>46199</v>
      </c>
      <c r="N416" s="86" cm="1">
        <f t="array" ref="N416">WORKDAY(M416,10)</f>
        <v>46213</v>
      </c>
      <c r="O416" s="87">
        <v>0</v>
      </c>
      <c r="P416" s="88">
        <v>0</v>
      </c>
      <c r="Q416" s="89">
        <v>46167</v>
      </c>
      <c r="R416" s="96">
        <v>46195</v>
      </c>
      <c r="S416" s="86" cm="1">
        <f t="array" ref="S416">WORKDAY(R416,10)</f>
        <v>46209</v>
      </c>
      <c r="T416" s="87">
        <v>0</v>
      </c>
      <c r="U416" s="91" t="s">
        <v>105</v>
      </c>
      <c r="V416" s="92">
        <v>0</v>
      </c>
      <c r="W416" s="93" cm="1">
        <f t="array" ref="W416">WORKDAY(X416,-20)</f>
        <v>46296</v>
      </c>
      <c r="X416" s="90">
        <v>46324</v>
      </c>
      <c r="Y416" s="88">
        <v>0</v>
      </c>
      <c r="Z416" s="93">
        <v>46356</v>
      </c>
      <c r="AA416" s="90">
        <v>46398</v>
      </c>
      <c r="AB416" s="88">
        <v>0</v>
      </c>
      <c r="AC416" s="79" t="s">
        <v>49</v>
      </c>
      <c r="AD416" s="79" t="s">
        <v>49</v>
      </c>
      <c r="AE416" s="90"/>
      <c r="AF416" s="88">
        <v>0</v>
      </c>
      <c r="AG416" s="93" cm="1">
        <f t="array" ref="AG416">WORKDAY(AA416,2)</f>
        <v>46400</v>
      </c>
      <c r="AH416" s="90" cm="1">
        <f t="array" ref="AH416">WORKDAY(AG416,1)</f>
        <v>46401</v>
      </c>
      <c r="AI416" s="86" cm="1">
        <f t="array" ref="AI416">WORKDAY(AH416,1)</f>
        <v>46402</v>
      </c>
      <c r="AJ416" s="145"/>
      <c r="AK416" s="56"/>
    </row>
    <row r="417" spans="1:37" ht="25.5" customHeight="1">
      <c r="A417" s="140" cm="1">
        <f t="array" ref="A417">A416+1</f>
        <v>402</v>
      </c>
      <c r="B417" s="79" t="s">
        <v>858</v>
      </c>
      <c r="C417" s="95">
        <v>3</v>
      </c>
      <c r="D417" s="79" t="s">
        <v>856</v>
      </c>
      <c r="E417" s="79" t="s">
        <v>859</v>
      </c>
      <c r="F417" s="79"/>
      <c r="G417" s="80" t="s">
        <v>654</v>
      </c>
      <c r="H417" s="81">
        <v>66243</v>
      </c>
      <c r="I417" s="82">
        <v>268</v>
      </c>
      <c r="J417" s="98"/>
      <c r="K417" s="100">
        <v>0</v>
      </c>
      <c r="L417" s="112" cm="1">
        <f t="array" ref="L417">WORKDAY(M417,-20)</f>
        <v>46171</v>
      </c>
      <c r="M417" s="85">
        <v>46199</v>
      </c>
      <c r="N417" s="86" cm="1">
        <f t="array" ref="N417">WORKDAY(M417,10)</f>
        <v>46213</v>
      </c>
      <c r="O417" s="87">
        <v>0</v>
      </c>
      <c r="P417" s="88">
        <v>0</v>
      </c>
      <c r="Q417" s="89">
        <v>46167</v>
      </c>
      <c r="R417" s="96">
        <v>46195</v>
      </c>
      <c r="S417" s="86" cm="1">
        <f t="array" ref="S417">WORKDAY(R417,10)</f>
        <v>46209</v>
      </c>
      <c r="T417" s="87">
        <v>0</v>
      </c>
      <c r="U417" s="91" t="s">
        <v>105</v>
      </c>
      <c r="V417" s="92">
        <v>0</v>
      </c>
      <c r="W417" s="93" cm="1">
        <f t="array" ref="W417">WORKDAY(X417,-20)</f>
        <v>46301</v>
      </c>
      <c r="X417" s="80" t="s">
        <v>860</v>
      </c>
      <c r="Y417" s="88">
        <v>0</v>
      </c>
      <c r="Z417" s="93">
        <v>46357</v>
      </c>
      <c r="AA417" s="90">
        <v>46399</v>
      </c>
      <c r="AB417" s="88">
        <v>0</v>
      </c>
      <c r="AC417" s="79" t="s">
        <v>49</v>
      </c>
      <c r="AD417" s="79" t="s">
        <v>49</v>
      </c>
      <c r="AE417" s="90"/>
      <c r="AF417" s="88">
        <v>0</v>
      </c>
      <c r="AG417" s="93" cm="1">
        <f t="array" ref="AG417">WORKDAY(AA417,2)</f>
        <v>46401</v>
      </c>
      <c r="AH417" s="90" cm="1">
        <f t="array" ref="AH417">WORKDAY(AG417,1)</f>
        <v>46402</v>
      </c>
      <c r="AI417" s="86" cm="1">
        <f t="array" ref="AI417">WORKDAY(AH417,1)</f>
        <v>46405</v>
      </c>
      <c r="AJ417" s="145"/>
      <c r="AK417" s="56"/>
    </row>
    <row r="418" spans="1:37" ht="25.5" customHeight="1">
      <c r="A418" s="140" cm="1">
        <f t="array" ref="A418">A417+1</f>
        <v>403</v>
      </c>
      <c r="B418" s="79" t="s">
        <v>861</v>
      </c>
      <c r="C418" s="95">
        <v>3</v>
      </c>
      <c r="D418" s="79" t="s">
        <v>856</v>
      </c>
      <c r="E418" s="79" t="s">
        <v>862</v>
      </c>
      <c r="F418" s="79"/>
      <c r="G418" s="80" t="s">
        <v>654</v>
      </c>
      <c r="H418" s="81">
        <v>66243</v>
      </c>
      <c r="I418" s="82">
        <v>269</v>
      </c>
      <c r="J418" s="98"/>
      <c r="K418" s="100">
        <v>0</v>
      </c>
      <c r="L418" s="105" cm="1">
        <f t="array" ref="L418">WORKDAY(M418,-20)</f>
        <v>46171</v>
      </c>
      <c r="M418" s="85">
        <v>46199</v>
      </c>
      <c r="N418" s="86" cm="1">
        <f t="array" ref="N418">WORKDAY(M418,10)</f>
        <v>46213</v>
      </c>
      <c r="O418" s="87">
        <v>0</v>
      </c>
      <c r="P418" s="88">
        <v>0</v>
      </c>
      <c r="Q418" s="89">
        <v>46167</v>
      </c>
      <c r="R418" s="96">
        <v>46195</v>
      </c>
      <c r="S418" s="86" cm="1">
        <f t="array" ref="S418">WORKDAY(R418,10)</f>
        <v>46209</v>
      </c>
      <c r="T418" s="87">
        <v>0</v>
      </c>
      <c r="U418" s="91" t="s">
        <v>105</v>
      </c>
      <c r="V418" s="92">
        <v>0</v>
      </c>
      <c r="W418" s="93" cm="1">
        <f t="array" ref="W418">WORKDAY(X418,-20)</f>
        <v>46301</v>
      </c>
      <c r="X418" s="80" t="s">
        <v>860</v>
      </c>
      <c r="Y418" s="88">
        <v>0</v>
      </c>
      <c r="Z418" s="93">
        <v>46357</v>
      </c>
      <c r="AA418" s="90">
        <v>46399</v>
      </c>
      <c r="AB418" s="88">
        <v>0</v>
      </c>
      <c r="AC418" s="79" t="s">
        <v>49</v>
      </c>
      <c r="AD418" s="79" t="s">
        <v>49</v>
      </c>
      <c r="AE418" s="90"/>
      <c r="AF418" s="88">
        <v>0</v>
      </c>
      <c r="AG418" s="93" cm="1">
        <f t="array" ref="AG418">WORKDAY(AA418,2)</f>
        <v>46401</v>
      </c>
      <c r="AH418" s="90" cm="1">
        <f t="array" ref="AH418">WORKDAY(AG418,1)</f>
        <v>46402</v>
      </c>
      <c r="AI418" s="86" cm="1">
        <f t="array" ref="AI418">WORKDAY(AH418,1)</f>
        <v>46405</v>
      </c>
      <c r="AJ418" s="145"/>
      <c r="AK418" s="56"/>
    </row>
    <row r="419" spans="1:37" ht="25.5" customHeight="1">
      <c r="A419" s="140" cm="1">
        <f t="array" ref="A419">A418+1</f>
        <v>404</v>
      </c>
      <c r="B419" s="79" t="s">
        <v>863</v>
      </c>
      <c r="C419" s="95">
        <v>3</v>
      </c>
      <c r="D419" s="79" t="s">
        <v>864</v>
      </c>
      <c r="E419" s="79" t="s">
        <v>865</v>
      </c>
      <c r="F419" s="79"/>
      <c r="G419" s="80" t="s">
        <v>654</v>
      </c>
      <c r="H419" s="81">
        <v>50950</v>
      </c>
      <c r="I419" s="82">
        <v>270</v>
      </c>
      <c r="J419" s="98"/>
      <c r="K419" s="100">
        <v>0</v>
      </c>
      <c r="L419" s="105" cm="1">
        <f t="array" ref="L419">WORKDAY(M419,-20)</f>
        <v>46171</v>
      </c>
      <c r="M419" s="85">
        <v>46199</v>
      </c>
      <c r="N419" s="86" cm="1">
        <f t="array" ref="N419">WORKDAY(M419,10)</f>
        <v>46213</v>
      </c>
      <c r="O419" s="87">
        <v>0</v>
      </c>
      <c r="P419" s="88">
        <v>0</v>
      </c>
      <c r="Q419" s="89">
        <v>46167</v>
      </c>
      <c r="R419" s="96">
        <v>46195</v>
      </c>
      <c r="S419" s="86" cm="1">
        <f t="array" ref="S419">WORKDAY(R419,10)</f>
        <v>46209</v>
      </c>
      <c r="T419" s="87">
        <v>0</v>
      </c>
      <c r="U419" s="91" t="s">
        <v>105</v>
      </c>
      <c r="V419" s="92">
        <v>0</v>
      </c>
      <c r="W419" s="93" cm="1">
        <f t="array" ref="W419">WORKDAY(X419,-20)</f>
        <v>46301</v>
      </c>
      <c r="X419" s="80" t="s">
        <v>860</v>
      </c>
      <c r="Y419" s="88">
        <v>0</v>
      </c>
      <c r="Z419" s="93">
        <v>46357</v>
      </c>
      <c r="AA419" s="90">
        <v>46399</v>
      </c>
      <c r="AB419" s="88">
        <v>0</v>
      </c>
      <c r="AC419" s="79" t="s">
        <v>49</v>
      </c>
      <c r="AD419" s="79" t="s">
        <v>49</v>
      </c>
      <c r="AE419" s="90"/>
      <c r="AF419" s="88">
        <v>0</v>
      </c>
      <c r="AG419" s="93" cm="1">
        <f t="array" ref="AG419">WORKDAY(AA419,2)</f>
        <v>46401</v>
      </c>
      <c r="AH419" s="90" cm="1">
        <f t="array" ref="AH419">WORKDAY(AG419,1)</f>
        <v>46402</v>
      </c>
      <c r="AI419" s="86" cm="1">
        <f t="array" ref="AI419">WORKDAY(AH419,1)</f>
        <v>46405</v>
      </c>
      <c r="AJ419" s="145"/>
      <c r="AK419" s="56"/>
    </row>
    <row r="420" spans="1:37" ht="25.5" customHeight="1">
      <c r="A420" s="140" cm="1">
        <f t="array" ref="A420">A419+1</f>
        <v>405</v>
      </c>
      <c r="B420" s="79" t="s">
        <v>866</v>
      </c>
      <c r="C420" s="95">
        <v>3</v>
      </c>
      <c r="D420" s="79" t="s">
        <v>864</v>
      </c>
      <c r="E420" s="79" t="s">
        <v>867</v>
      </c>
      <c r="F420" s="79"/>
      <c r="G420" s="80" t="s">
        <v>654</v>
      </c>
      <c r="H420" s="81">
        <v>50950</v>
      </c>
      <c r="I420" s="82">
        <v>271</v>
      </c>
      <c r="J420" s="98"/>
      <c r="K420" s="100">
        <v>0</v>
      </c>
      <c r="L420" s="105" cm="1">
        <f t="array" ref="L420">WORKDAY(M420,-20)</f>
        <v>46171</v>
      </c>
      <c r="M420" s="85">
        <v>46199</v>
      </c>
      <c r="N420" s="86" cm="1">
        <f t="array" ref="N420">WORKDAY(M420,10)</f>
        <v>46213</v>
      </c>
      <c r="O420" s="87">
        <v>0</v>
      </c>
      <c r="P420" s="88">
        <v>0</v>
      </c>
      <c r="Q420" s="89">
        <v>46167</v>
      </c>
      <c r="R420" s="96">
        <v>46195</v>
      </c>
      <c r="S420" s="86" cm="1">
        <f t="array" ref="S420">WORKDAY(R420,10)</f>
        <v>46209</v>
      </c>
      <c r="T420" s="87">
        <v>0</v>
      </c>
      <c r="U420" s="91" t="s">
        <v>105</v>
      </c>
      <c r="V420" s="92">
        <v>0</v>
      </c>
      <c r="W420" s="93" cm="1">
        <f t="array" ref="W420">WORKDAY(X420,-20)</f>
        <v>46302</v>
      </c>
      <c r="X420" s="80" t="s">
        <v>868</v>
      </c>
      <c r="Y420" s="88">
        <v>0</v>
      </c>
      <c r="Z420" s="93">
        <v>46358</v>
      </c>
      <c r="AA420" s="90">
        <v>46400</v>
      </c>
      <c r="AB420" s="88">
        <v>0</v>
      </c>
      <c r="AC420" s="79" t="s">
        <v>49</v>
      </c>
      <c r="AD420" s="79" t="s">
        <v>49</v>
      </c>
      <c r="AE420" s="90"/>
      <c r="AF420" s="88">
        <v>0</v>
      </c>
      <c r="AG420" s="93" cm="1">
        <f t="array" ref="AG420">WORKDAY(AA420,2)</f>
        <v>46402</v>
      </c>
      <c r="AH420" s="90" cm="1">
        <f t="array" ref="AH420">WORKDAY(AG420,1)</f>
        <v>46405</v>
      </c>
      <c r="AI420" s="86" cm="1">
        <f t="array" ref="AI420">WORKDAY(AH420,1)</f>
        <v>46406</v>
      </c>
      <c r="AJ420" s="145"/>
      <c r="AK420" s="56"/>
    </row>
    <row r="421" spans="1:37" ht="25.5" customHeight="1">
      <c r="A421" s="140" cm="1">
        <f t="array" ref="A421">A420+1</f>
        <v>406</v>
      </c>
      <c r="B421" s="79" t="s">
        <v>869</v>
      </c>
      <c r="C421" s="95">
        <v>3</v>
      </c>
      <c r="D421" s="79" t="s">
        <v>864</v>
      </c>
      <c r="E421" s="79" t="s">
        <v>870</v>
      </c>
      <c r="F421" s="79"/>
      <c r="G421" s="80" t="s">
        <v>654</v>
      </c>
      <c r="H421" s="81">
        <v>50950</v>
      </c>
      <c r="I421" s="82">
        <v>273</v>
      </c>
      <c r="J421" s="98"/>
      <c r="K421" s="100">
        <v>0</v>
      </c>
      <c r="L421" s="105" cm="1">
        <f t="array" ref="L421">WORKDAY(M421,-20)</f>
        <v>46171</v>
      </c>
      <c r="M421" s="85">
        <v>46199</v>
      </c>
      <c r="N421" s="86" cm="1">
        <f t="array" ref="N421">WORKDAY(M421,10)</f>
        <v>46213</v>
      </c>
      <c r="O421" s="87">
        <v>0</v>
      </c>
      <c r="P421" s="88">
        <v>0</v>
      </c>
      <c r="Q421" s="89">
        <v>46167</v>
      </c>
      <c r="R421" s="96">
        <v>46195</v>
      </c>
      <c r="S421" s="86" cm="1">
        <f t="array" ref="S421">WORKDAY(R421,10)</f>
        <v>46209</v>
      </c>
      <c r="T421" s="87">
        <v>0</v>
      </c>
      <c r="U421" s="91" t="s">
        <v>105</v>
      </c>
      <c r="V421" s="92">
        <v>0</v>
      </c>
      <c r="W421" s="93" cm="1">
        <f t="array" ref="W421">WORKDAY(X421,-20)</f>
        <v>46302</v>
      </c>
      <c r="X421" s="80" t="s">
        <v>868</v>
      </c>
      <c r="Y421" s="88">
        <v>0</v>
      </c>
      <c r="Z421" s="93">
        <v>46358</v>
      </c>
      <c r="AA421" s="90">
        <v>46400</v>
      </c>
      <c r="AB421" s="88">
        <v>0</v>
      </c>
      <c r="AC421" s="79" t="s">
        <v>49</v>
      </c>
      <c r="AD421" s="79" t="s">
        <v>49</v>
      </c>
      <c r="AE421" s="90"/>
      <c r="AF421" s="88">
        <v>0</v>
      </c>
      <c r="AG421" s="93" cm="1">
        <f t="array" ref="AG421">WORKDAY(AA421,2)</f>
        <v>46402</v>
      </c>
      <c r="AH421" s="90" cm="1">
        <f t="array" ref="AH421">WORKDAY(AG421,1)</f>
        <v>46405</v>
      </c>
      <c r="AI421" s="86" cm="1">
        <f t="array" ref="AI421">WORKDAY(AH421,1)</f>
        <v>46406</v>
      </c>
      <c r="AJ421" s="145"/>
      <c r="AK421" s="56"/>
    </row>
    <row r="422" spans="1:37" ht="25.5" customHeight="1">
      <c r="A422" s="140" cm="1">
        <f t="array" ref="A422">A421+1</f>
        <v>407</v>
      </c>
      <c r="B422" s="79" t="s">
        <v>871</v>
      </c>
      <c r="C422" s="78">
        <v>4</v>
      </c>
      <c r="D422" s="79" t="s">
        <v>872</v>
      </c>
      <c r="E422" s="79" t="s">
        <v>873</v>
      </c>
      <c r="F422" s="79"/>
      <c r="G422" s="80" t="s">
        <v>874</v>
      </c>
      <c r="H422" s="81">
        <v>67649</v>
      </c>
      <c r="I422" s="82">
        <v>274</v>
      </c>
      <c r="J422" s="80"/>
      <c r="K422" s="83" t="s">
        <v>126</v>
      </c>
      <c r="L422" s="101">
        <v>46001</v>
      </c>
      <c r="M422" s="85">
        <v>46087</v>
      </c>
      <c r="N422" s="86" cm="1">
        <f t="array" ref="N422">WORKDAY(M422,10)</f>
        <v>46101</v>
      </c>
      <c r="O422" s="87">
        <v>0</v>
      </c>
      <c r="P422" s="88">
        <v>0</v>
      </c>
      <c r="Q422" s="89">
        <v>46196</v>
      </c>
      <c r="R422" s="96">
        <v>46227</v>
      </c>
      <c r="S422" s="86" cm="1">
        <f t="array" ref="S422">WORKDAY(R422,10)</f>
        <v>46241</v>
      </c>
      <c r="T422" s="87">
        <v>0</v>
      </c>
      <c r="U422" s="91" t="s">
        <v>105</v>
      </c>
      <c r="V422" s="92">
        <v>0</v>
      </c>
      <c r="W422" s="93" cm="1">
        <f t="array" ref="W422">WORKDAY(X422,-20)</f>
        <v>46302</v>
      </c>
      <c r="X422" s="80" t="s">
        <v>868</v>
      </c>
      <c r="Y422" s="88">
        <v>0</v>
      </c>
      <c r="Z422" s="93">
        <v>46358</v>
      </c>
      <c r="AA422" s="90">
        <v>46400</v>
      </c>
      <c r="AB422" s="88">
        <v>0</v>
      </c>
      <c r="AC422" s="79" t="s">
        <v>49</v>
      </c>
      <c r="AD422" s="79" t="s">
        <v>49</v>
      </c>
      <c r="AE422" s="90"/>
      <c r="AF422" s="88">
        <v>0</v>
      </c>
      <c r="AG422" s="93" cm="1">
        <f t="array" ref="AG422">WORKDAY(AA422,2)</f>
        <v>46402</v>
      </c>
      <c r="AH422" s="90" cm="1">
        <f t="array" ref="AH422">WORKDAY(AG422,1)</f>
        <v>46405</v>
      </c>
      <c r="AI422" s="86" cm="1">
        <f t="array" ref="AI422">WORKDAY(AH422,1)</f>
        <v>46406</v>
      </c>
      <c r="AJ422" s="144"/>
      <c r="AK422" s="56"/>
    </row>
    <row r="423" spans="1:37" ht="25.5" customHeight="1">
      <c r="A423" s="140" cm="1">
        <f t="array" ref="A423">A422+1</f>
        <v>408</v>
      </c>
      <c r="B423" s="79" t="s">
        <v>875</v>
      </c>
      <c r="C423" s="78">
        <v>4</v>
      </c>
      <c r="D423" s="79" t="s">
        <v>872</v>
      </c>
      <c r="E423" s="79" t="s">
        <v>876</v>
      </c>
      <c r="F423" s="79"/>
      <c r="G423" s="80" t="s">
        <v>874</v>
      </c>
      <c r="H423" s="81">
        <v>67649</v>
      </c>
      <c r="I423" s="82">
        <v>275</v>
      </c>
      <c r="J423" s="80"/>
      <c r="K423" s="155" t="s">
        <v>126</v>
      </c>
      <c r="L423" s="89">
        <v>46036</v>
      </c>
      <c r="M423" s="102">
        <v>46079</v>
      </c>
      <c r="N423" s="86" cm="1">
        <f t="array" ref="N423">WORKDAY(M423,10)</f>
        <v>46093</v>
      </c>
      <c r="O423" s="87">
        <v>0</v>
      </c>
      <c r="P423" s="88">
        <v>0</v>
      </c>
      <c r="Q423" s="89">
        <v>46196</v>
      </c>
      <c r="R423" s="96">
        <v>46227</v>
      </c>
      <c r="S423" s="86" cm="1">
        <f t="array" ref="S423">WORKDAY(R423,10)</f>
        <v>46241</v>
      </c>
      <c r="T423" s="87">
        <v>0</v>
      </c>
      <c r="U423" s="91" t="s">
        <v>105</v>
      </c>
      <c r="V423" s="92">
        <v>0</v>
      </c>
      <c r="W423" s="93" cm="1">
        <f t="array" ref="W423">WORKDAY(X423,-20)</f>
        <v>46303</v>
      </c>
      <c r="X423" s="80" t="s">
        <v>877</v>
      </c>
      <c r="Y423" s="88">
        <v>0</v>
      </c>
      <c r="Z423" s="93">
        <v>46358</v>
      </c>
      <c r="AA423" s="90">
        <v>46400</v>
      </c>
      <c r="AB423" s="88">
        <v>0</v>
      </c>
      <c r="AC423" s="79" t="s">
        <v>49</v>
      </c>
      <c r="AD423" s="79" t="s">
        <v>49</v>
      </c>
      <c r="AE423" s="90"/>
      <c r="AF423" s="88">
        <v>0</v>
      </c>
      <c r="AG423" s="93" cm="1">
        <f t="array" ref="AG423">WORKDAY(AA423,2)</f>
        <v>46402</v>
      </c>
      <c r="AH423" s="90" cm="1">
        <f t="array" ref="AH423">WORKDAY(AG423,1)</f>
        <v>46405</v>
      </c>
      <c r="AI423" s="86" cm="1">
        <f t="array" ref="AI423">WORKDAY(AH423,1)</f>
        <v>46406</v>
      </c>
      <c r="AJ423" s="144"/>
      <c r="AK423" s="56"/>
    </row>
    <row r="424" spans="1:37" ht="25.5" customHeight="1">
      <c r="A424" s="140" cm="1">
        <f t="array" ref="A424">A423+1</f>
        <v>409</v>
      </c>
      <c r="B424" s="79" t="s">
        <v>878</v>
      </c>
      <c r="C424" s="78">
        <v>4</v>
      </c>
      <c r="D424" s="79" t="s">
        <v>872</v>
      </c>
      <c r="E424" s="79" t="s">
        <v>879</v>
      </c>
      <c r="F424" s="79"/>
      <c r="G424" s="80" t="s">
        <v>874</v>
      </c>
      <c r="H424" s="81">
        <v>67649</v>
      </c>
      <c r="I424" s="82">
        <v>276</v>
      </c>
      <c r="J424" s="80"/>
      <c r="K424" s="83" t="s">
        <v>126</v>
      </c>
      <c r="L424" s="103">
        <v>46036</v>
      </c>
      <c r="M424" s="85">
        <v>46079</v>
      </c>
      <c r="N424" s="86" cm="1">
        <f t="array" ref="N424">WORKDAY(M424,10)</f>
        <v>46093</v>
      </c>
      <c r="O424" s="87">
        <v>0</v>
      </c>
      <c r="P424" s="88">
        <v>0</v>
      </c>
      <c r="Q424" s="89">
        <v>46196</v>
      </c>
      <c r="R424" s="96">
        <v>46227</v>
      </c>
      <c r="S424" s="86" cm="1">
        <f t="array" ref="S424">WORKDAY(R424,10)</f>
        <v>46241</v>
      </c>
      <c r="T424" s="87">
        <v>0</v>
      </c>
      <c r="U424" s="91" t="s">
        <v>105</v>
      </c>
      <c r="V424" s="92">
        <v>0</v>
      </c>
      <c r="W424" s="93" cm="1">
        <f t="array" ref="W424">WORKDAY(X424,-20)</f>
        <v>46303</v>
      </c>
      <c r="X424" s="80" t="s">
        <v>877</v>
      </c>
      <c r="Y424" s="88">
        <v>0</v>
      </c>
      <c r="Z424" s="93">
        <v>46359</v>
      </c>
      <c r="AA424" s="90">
        <v>46401</v>
      </c>
      <c r="AB424" s="88">
        <v>0</v>
      </c>
      <c r="AC424" s="79" t="s">
        <v>49</v>
      </c>
      <c r="AD424" s="79" t="s">
        <v>49</v>
      </c>
      <c r="AE424" s="90"/>
      <c r="AF424" s="88">
        <v>0</v>
      </c>
      <c r="AG424" s="93" cm="1">
        <f t="array" ref="AG424">WORKDAY(AA424,2)</f>
        <v>46405</v>
      </c>
      <c r="AH424" s="90" cm="1">
        <f t="array" ref="AH424">WORKDAY(AG424,1)</f>
        <v>46406</v>
      </c>
      <c r="AI424" s="86" cm="1">
        <f t="array" ref="AI424">WORKDAY(AH424,1)</f>
        <v>46407</v>
      </c>
      <c r="AJ424" s="144"/>
      <c r="AK424" s="56"/>
    </row>
    <row r="425" spans="1:37" ht="25.5" customHeight="1">
      <c r="A425" s="140" cm="1">
        <f t="array" ref="A425">A424+1</f>
        <v>410</v>
      </c>
      <c r="B425" s="79" t="s">
        <v>880</v>
      </c>
      <c r="C425" s="78">
        <v>4</v>
      </c>
      <c r="D425" s="79" t="s">
        <v>872</v>
      </c>
      <c r="E425" s="79" t="s">
        <v>881</v>
      </c>
      <c r="F425" s="79"/>
      <c r="G425" s="80" t="s">
        <v>874</v>
      </c>
      <c r="H425" s="81">
        <v>67649</v>
      </c>
      <c r="I425" s="82">
        <v>277</v>
      </c>
      <c r="J425" s="80"/>
      <c r="K425" s="83" t="s">
        <v>126</v>
      </c>
      <c r="L425" s="84">
        <v>46036</v>
      </c>
      <c r="M425" s="85">
        <v>46079</v>
      </c>
      <c r="N425" s="86" cm="1">
        <f t="array" ref="N425">WORKDAY(M425,10)</f>
        <v>46093</v>
      </c>
      <c r="O425" s="87">
        <v>0</v>
      </c>
      <c r="P425" s="88">
        <v>0</v>
      </c>
      <c r="Q425" s="89">
        <v>46196</v>
      </c>
      <c r="R425" s="96">
        <v>46227</v>
      </c>
      <c r="S425" s="86" cm="1">
        <f t="array" ref="S425">WORKDAY(R425,10)</f>
        <v>46241</v>
      </c>
      <c r="T425" s="87">
        <v>0</v>
      </c>
      <c r="U425" s="91" t="s">
        <v>105</v>
      </c>
      <c r="V425" s="92">
        <v>0</v>
      </c>
      <c r="W425" s="93" cm="1">
        <f t="array" ref="W425">WORKDAY(X425,-20)</f>
        <v>46303</v>
      </c>
      <c r="X425" s="80" t="s">
        <v>877</v>
      </c>
      <c r="Y425" s="88">
        <v>0</v>
      </c>
      <c r="Z425" s="93">
        <v>46359</v>
      </c>
      <c r="AA425" s="90">
        <v>46401</v>
      </c>
      <c r="AB425" s="88">
        <v>0</v>
      </c>
      <c r="AC425" s="79" t="s">
        <v>49</v>
      </c>
      <c r="AD425" s="79" t="s">
        <v>49</v>
      </c>
      <c r="AE425" s="90"/>
      <c r="AF425" s="88">
        <v>0</v>
      </c>
      <c r="AG425" s="93" cm="1">
        <f t="array" ref="AG425">WORKDAY(AA425,2)</f>
        <v>46405</v>
      </c>
      <c r="AH425" s="90" cm="1">
        <f t="array" ref="AH425">WORKDAY(AG425,1)</f>
        <v>46406</v>
      </c>
      <c r="AI425" s="86" cm="1">
        <f t="array" ref="AI425">WORKDAY(AH425,1)</f>
        <v>46407</v>
      </c>
      <c r="AJ425" s="144"/>
      <c r="AK425" s="56"/>
    </row>
    <row r="426" spans="1:37" ht="25.5" customHeight="1">
      <c r="A426" s="140" cm="1">
        <f t="array" ref="A426">A425+1</f>
        <v>411</v>
      </c>
      <c r="B426" s="79" t="s">
        <v>882</v>
      </c>
      <c r="C426" s="78">
        <v>4</v>
      </c>
      <c r="D426" s="79" t="s">
        <v>872</v>
      </c>
      <c r="E426" s="79" t="s">
        <v>883</v>
      </c>
      <c r="F426" s="79"/>
      <c r="G426" s="80" t="s">
        <v>874</v>
      </c>
      <c r="H426" s="81">
        <v>67649</v>
      </c>
      <c r="I426" s="82">
        <v>278</v>
      </c>
      <c r="J426" s="80"/>
      <c r="K426" s="83" t="s">
        <v>126</v>
      </c>
      <c r="L426" s="84">
        <v>46036</v>
      </c>
      <c r="M426" s="85">
        <v>46079</v>
      </c>
      <c r="N426" s="86" cm="1">
        <f t="array" ref="N426">WORKDAY(M426,10)</f>
        <v>46093</v>
      </c>
      <c r="O426" s="87">
        <v>0</v>
      </c>
      <c r="P426" s="88">
        <v>0</v>
      </c>
      <c r="Q426" s="89">
        <v>46196</v>
      </c>
      <c r="R426" s="96">
        <v>46227</v>
      </c>
      <c r="S426" s="86" cm="1">
        <f t="array" ref="S426">WORKDAY(R426,10)</f>
        <v>46241</v>
      </c>
      <c r="T426" s="87">
        <v>0</v>
      </c>
      <c r="U426" s="91" t="s">
        <v>105</v>
      </c>
      <c r="V426" s="92">
        <v>0</v>
      </c>
      <c r="W426" s="93" cm="1">
        <f t="array" ref="W426">WORKDAY(X426,-20)</f>
        <v>46304</v>
      </c>
      <c r="X426" s="80" t="s">
        <v>884</v>
      </c>
      <c r="Y426" s="88">
        <v>0</v>
      </c>
      <c r="Z426" s="93">
        <v>46359</v>
      </c>
      <c r="AA426" s="90">
        <v>46401</v>
      </c>
      <c r="AB426" s="88">
        <v>0</v>
      </c>
      <c r="AC426" s="79" t="s">
        <v>49</v>
      </c>
      <c r="AD426" s="79" t="s">
        <v>49</v>
      </c>
      <c r="AE426" s="90"/>
      <c r="AF426" s="88">
        <v>0</v>
      </c>
      <c r="AG426" s="93" cm="1">
        <f t="array" ref="AG426">WORKDAY(AA426,2)</f>
        <v>46405</v>
      </c>
      <c r="AH426" s="90" cm="1">
        <f t="array" ref="AH426">WORKDAY(AG426,1)</f>
        <v>46406</v>
      </c>
      <c r="AI426" s="86" cm="1">
        <f t="array" ref="AI426">WORKDAY(AH426,1)</f>
        <v>46407</v>
      </c>
      <c r="AJ426" s="144"/>
      <c r="AK426" s="56"/>
    </row>
    <row r="427" spans="1:37" ht="25.5" customHeight="1">
      <c r="A427" s="140" cm="1">
        <f t="array" ref="A427">A426+1</f>
        <v>412</v>
      </c>
      <c r="B427" s="79" t="s">
        <v>885</v>
      </c>
      <c r="C427" s="78">
        <v>4</v>
      </c>
      <c r="D427" s="79" t="s">
        <v>872</v>
      </c>
      <c r="E427" s="79" t="s">
        <v>886</v>
      </c>
      <c r="F427" s="79"/>
      <c r="G427" s="80" t="s">
        <v>874</v>
      </c>
      <c r="H427" s="81">
        <v>67649</v>
      </c>
      <c r="I427" s="82">
        <v>279</v>
      </c>
      <c r="J427" s="98"/>
      <c r="K427" s="83" t="s">
        <v>126</v>
      </c>
      <c r="L427" s="84">
        <v>46036</v>
      </c>
      <c r="M427" s="85">
        <v>46079</v>
      </c>
      <c r="N427" s="86" cm="1">
        <f t="array" ref="N427">WORKDAY(M427,10)</f>
        <v>46093</v>
      </c>
      <c r="O427" s="87">
        <v>0</v>
      </c>
      <c r="P427" s="88">
        <v>0</v>
      </c>
      <c r="Q427" s="89">
        <v>46196</v>
      </c>
      <c r="R427" s="96">
        <v>46227</v>
      </c>
      <c r="S427" s="86" cm="1">
        <f t="array" ref="S427">WORKDAY(R427,10)</f>
        <v>46241</v>
      </c>
      <c r="T427" s="87">
        <v>0</v>
      </c>
      <c r="U427" s="91" t="s">
        <v>105</v>
      </c>
      <c r="V427" s="92">
        <v>0</v>
      </c>
      <c r="W427" s="93" cm="1">
        <f t="array" ref="W427">WORKDAY(X427,-20)</f>
        <v>46304</v>
      </c>
      <c r="X427" s="80" t="s">
        <v>884</v>
      </c>
      <c r="Y427" s="88">
        <v>0</v>
      </c>
      <c r="Z427" s="93">
        <v>46360</v>
      </c>
      <c r="AA427" s="90">
        <v>46402</v>
      </c>
      <c r="AB427" s="88">
        <v>0</v>
      </c>
      <c r="AC427" s="79" t="s">
        <v>49</v>
      </c>
      <c r="AD427" s="79" t="s">
        <v>49</v>
      </c>
      <c r="AE427" s="90"/>
      <c r="AF427" s="88">
        <v>0</v>
      </c>
      <c r="AG427" s="93" cm="1">
        <f t="array" ref="AG427">WORKDAY(AA427,2)</f>
        <v>46406</v>
      </c>
      <c r="AH427" s="90" cm="1">
        <f t="array" ref="AH427">WORKDAY(AG427,1)</f>
        <v>46407</v>
      </c>
      <c r="AI427" s="86" cm="1">
        <f t="array" ref="AI427">WORKDAY(AH427,1)</f>
        <v>46408</v>
      </c>
      <c r="AJ427" s="144"/>
      <c r="AK427" s="56"/>
    </row>
    <row r="428" spans="1:37" ht="25.5" customHeight="1">
      <c r="A428" s="140" cm="1">
        <f t="array" ref="A428">A427+1</f>
        <v>413</v>
      </c>
      <c r="B428" s="79" t="s">
        <v>887</v>
      </c>
      <c r="C428" s="78">
        <v>4</v>
      </c>
      <c r="D428" s="79" t="s">
        <v>872</v>
      </c>
      <c r="E428" s="79" t="s">
        <v>888</v>
      </c>
      <c r="F428" s="79"/>
      <c r="G428" s="80" t="s">
        <v>874</v>
      </c>
      <c r="H428" s="81">
        <v>67649</v>
      </c>
      <c r="I428" s="82">
        <v>280</v>
      </c>
      <c r="J428" s="98"/>
      <c r="K428" s="83" t="s">
        <v>104</v>
      </c>
      <c r="L428" s="84">
        <v>46036</v>
      </c>
      <c r="M428" s="85">
        <v>46079</v>
      </c>
      <c r="N428" s="86" cm="1">
        <f t="array" ref="N428">WORKDAY(M428,10)</f>
        <v>46093</v>
      </c>
      <c r="O428" s="87">
        <v>0</v>
      </c>
      <c r="P428" s="88">
        <v>0</v>
      </c>
      <c r="Q428" s="89">
        <v>46196</v>
      </c>
      <c r="R428" s="96">
        <v>46227</v>
      </c>
      <c r="S428" s="86" cm="1">
        <f t="array" ref="S428">WORKDAY(R428,10)</f>
        <v>46241</v>
      </c>
      <c r="T428" s="87">
        <v>0</v>
      </c>
      <c r="U428" s="91" t="s">
        <v>105</v>
      </c>
      <c r="V428" s="92">
        <v>0</v>
      </c>
      <c r="W428" s="93" cm="1">
        <f t="array" ref="W428">WORKDAY(X428,-20)</f>
        <v>46304</v>
      </c>
      <c r="X428" s="80" t="s">
        <v>884</v>
      </c>
      <c r="Y428" s="88">
        <v>0</v>
      </c>
      <c r="Z428" s="93">
        <v>46360</v>
      </c>
      <c r="AA428" s="90">
        <v>46402</v>
      </c>
      <c r="AB428" s="88">
        <v>0</v>
      </c>
      <c r="AC428" s="79" t="s">
        <v>49</v>
      </c>
      <c r="AD428" s="79" t="s">
        <v>49</v>
      </c>
      <c r="AE428" s="90"/>
      <c r="AF428" s="88">
        <v>0</v>
      </c>
      <c r="AG428" s="93" cm="1">
        <f t="array" ref="AG428">WORKDAY(AA428,2)</f>
        <v>46406</v>
      </c>
      <c r="AH428" s="90" cm="1">
        <f t="array" ref="AH428">WORKDAY(AG428,1)</f>
        <v>46407</v>
      </c>
      <c r="AI428" s="86" cm="1">
        <f t="array" ref="AI428">WORKDAY(AH428,1)</f>
        <v>46408</v>
      </c>
      <c r="AJ428" s="144"/>
      <c r="AK428" s="56"/>
    </row>
    <row r="429" spans="1:37" ht="25.5" customHeight="1">
      <c r="A429" s="140" cm="1">
        <f t="array" ref="A429">A428+1</f>
        <v>414</v>
      </c>
      <c r="B429" s="79" t="s">
        <v>889</v>
      </c>
      <c r="C429" s="78">
        <v>4</v>
      </c>
      <c r="D429" s="79" t="s">
        <v>890</v>
      </c>
      <c r="E429" s="79" t="s">
        <v>891</v>
      </c>
      <c r="F429" s="79"/>
      <c r="G429" s="80" t="s">
        <v>874</v>
      </c>
      <c r="H429" s="81">
        <v>67649</v>
      </c>
      <c r="I429" s="82">
        <v>281</v>
      </c>
      <c r="J429" s="98"/>
      <c r="K429" s="83" t="s">
        <v>126</v>
      </c>
      <c r="L429" s="101">
        <v>46001</v>
      </c>
      <c r="M429" s="85">
        <v>46087</v>
      </c>
      <c r="N429" s="86" cm="1">
        <f t="array" ref="N429">WORKDAY(M429,10)</f>
        <v>46101</v>
      </c>
      <c r="O429" s="87">
        <v>0</v>
      </c>
      <c r="P429" s="88">
        <v>0</v>
      </c>
      <c r="Q429" s="89">
        <v>46196</v>
      </c>
      <c r="R429" s="96">
        <v>46227</v>
      </c>
      <c r="S429" s="86" cm="1">
        <f t="array" ref="S429">WORKDAY(R429,10)</f>
        <v>46241</v>
      </c>
      <c r="T429" s="87">
        <v>0</v>
      </c>
      <c r="U429" s="91" t="s">
        <v>105</v>
      </c>
      <c r="V429" s="92">
        <v>0</v>
      </c>
      <c r="W429" s="93" cm="1">
        <f t="array" ref="W429">WORKDAY(X429,-20)</f>
        <v>46307</v>
      </c>
      <c r="X429" s="80" t="s">
        <v>892</v>
      </c>
      <c r="Y429" s="88">
        <v>0</v>
      </c>
      <c r="Z429" s="93">
        <v>46360</v>
      </c>
      <c r="AA429" s="90">
        <v>46402</v>
      </c>
      <c r="AB429" s="88">
        <v>0</v>
      </c>
      <c r="AC429" s="79" t="s">
        <v>49</v>
      </c>
      <c r="AD429" s="79" t="s">
        <v>49</v>
      </c>
      <c r="AE429" s="90"/>
      <c r="AF429" s="88">
        <v>0</v>
      </c>
      <c r="AG429" s="93" cm="1">
        <f t="array" ref="AG429">WORKDAY(AA429,2)</f>
        <v>46406</v>
      </c>
      <c r="AH429" s="90" cm="1">
        <f t="array" ref="AH429">WORKDAY(AG429,1)</f>
        <v>46407</v>
      </c>
      <c r="AI429" s="86" cm="1">
        <f t="array" ref="AI429">WORKDAY(AH429,1)</f>
        <v>46408</v>
      </c>
      <c r="AJ429" s="144"/>
      <c r="AK429" s="56"/>
    </row>
    <row r="430" spans="1:37" ht="25.5" customHeight="1">
      <c r="A430" s="140" cm="1">
        <f t="array" ref="A430">A429+1</f>
        <v>415</v>
      </c>
      <c r="B430" s="79" t="s">
        <v>893</v>
      </c>
      <c r="C430" s="78">
        <v>4</v>
      </c>
      <c r="D430" s="79" t="s">
        <v>894</v>
      </c>
      <c r="E430" s="79" t="s">
        <v>895</v>
      </c>
      <c r="F430" s="79"/>
      <c r="G430" s="80" t="s">
        <v>874</v>
      </c>
      <c r="H430" s="81">
        <v>67649</v>
      </c>
      <c r="I430" s="82">
        <v>282</v>
      </c>
      <c r="J430" s="98"/>
      <c r="K430" s="155" t="s">
        <v>104</v>
      </c>
      <c r="L430" s="89">
        <v>46001</v>
      </c>
      <c r="M430" s="102">
        <v>46087</v>
      </c>
      <c r="N430" s="86" cm="1">
        <f t="array" ref="N430">WORKDAY(M430,10)</f>
        <v>46101</v>
      </c>
      <c r="O430" s="87">
        <v>0</v>
      </c>
      <c r="P430" s="88">
        <v>0</v>
      </c>
      <c r="Q430" s="89">
        <v>46196</v>
      </c>
      <c r="R430" s="96">
        <v>46227</v>
      </c>
      <c r="S430" s="86" cm="1">
        <f t="array" ref="S430">WORKDAY(R430,10)</f>
        <v>46241</v>
      </c>
      <c r="T430" s="87">
        <v>0</v>
      </c>
      <c r="U430" s="91" t="s">
        <v>105</v>
      </c>
      <c r="V430" s="92">
        <v>0</v>
      </c>
      <c r="W430" s="93" cm="1">
        <f t="array" ref="W430">WORKDAY(X430,-20)</f>
        <v>46307</v>
      </c>
      <c r="X430" s="80" t="s">
        <v>892</v>
      </c>
      <c r="Y430" s="88">
        <v>0</v>
      </c>
      <c r="Z430" s="93">
        <v>46363</v>
      </c>
      <c r="AA430" s="90">
        <v>46405</v>
      </c>
      <c r="AB430" s="88">
        <v>0</v>
      </c>
      <c r="AC430" s="79" t="s">
        <v>49</v>
      </c>
      <c r="AD430" s="79" t="s">
        <v>49</v>
      </c>
      <c r="AE430" s="90"/>
      <c r="AF430" s="88">
        <v>0</v>
      </c>
      <c r="AG430" s="93" cm="1">
        <f t="array" ref="AG430">WORKDAY(AA430,2)</f>
        <v>46407</v>
      </c>
      <c r="AH430" s="90" cm="1">
        <f t="array" ref="AH430">WORKDAY(AG430,1)</f>
        <v>46408</v>
      </c>
      <c r="AI430" s="86" cm="1">
        <f t="array" ref="AI430">WORKDAY(AH430,1)</f>
        <v>46409</v>
      </c>
      <c r="AJ430" s="144"/>
      <c r="AK430" s="56"/>
    </row>
    <row r="431" spans="1:37" ht="25.5" customHeight="1">
      <c r="A431" s="140" cm="1">
        <f t="array" ref="A431">A430+1</f>
        <v>416</v>
      </c>
      <c r="B431" s="79" t="s">
        <v>896</v>
      </c>
      <c r="C431" s="78">
        <v>4</v>
      </c>
      <c r="D431" s="79" t="s">
        <v>894</v>
      </c>
      <c r="E431" s="79" t="s">
        <v>897</v>
      </c>
      <c r="F431" s="79"/>
      <c r="G431" s="80" t="s">
        <v>874</v>
      </c>
      <c r="H431" s="81">
        <v>67649</v>
      </c>
      <c r="I431" s="82">
        <v>283</v>
      </c>
      <c r="J431" s="98"/>
      <c r="K431" s="155" t="s">
        <v>104</v>
      </c>
      <c r="L431" s="89">
        <v>46001</v>
      </c>
      <c r="M431" s="102">
        <v>46087</v>
      </c>
      <c r="N431" s="86" cm="1">
        <f t="array" ref="N431">WORKDAY(M431,10)</f>
        <v>46101</v>
      </c>
      <c r="O431" s="87">
        <v>0</v>
      </c>
      <c r="P431" s="88">
        <v>0</v>
      </c>
      <c r="Q431" s="89">
        <v>46196</v>
      </c>
      <c r="R431" s="96">
        <v>46227</v>
      </c>
      <c r="S431" s="86" cm="1">
        <f t="array" ref="S431">WORKDAY(R431,10)</f>
        <v>46241</v>
      </c>
      <c r="T431" s="87">
        <v>0</v>
      </c>
      <c r="U431" s="91" t="s">
        <v>105</v>
      </c>
      <c r="V431" s="92">
        <v>0</v>
      </c>
      <c r="W431" s="93" cm="1">
        <f t="array" ref="W431">WORKDAY(X431,-20)</f>
        <v>46307</v>
      </c>
      <c r="X431" s="80" t="s">
        <v>892</v>
      </c>
      <c r="Y431" s="88">
        <v>0</v>
      </c>
      <c r="Z431" s="93">
        <v>46363</v>
      </c>
      <c r="AA431" s="90">
        <v>46405</v>
      </c>
      <c r="AB431" s="88">
        <v>0</v>
      </c>
      <c r="AC431" s="79" t="s">
        <v>49</v>
      </c>
      <c r="AD431" s="79" t="s">
        <v>49</v>
      </c>
      <c r="AE431" s="90"/>
      <c r="AF431" s="88">
        <v>0</v>
      </c>
      <c r="AG431" s="93" cm="1">
        <f t="array" ref="AG431">WORKDAY(AA431,2)</f>
        <v>46407</v>
      </c>
      <c r="AH431" s="90" cm="1">
        <f t="array" ref="AH431">WORKDAY(AG431,1)</f>
        <v>46408</v>
      </c>
      <c r="AI431" s="86" cm="1">
        <f t="array" ref="AI431">WORKDAY(AH431,1)</f>
        <v>46409</v>
      </c>
      <c r="AJ431" s="144"/>
      <c r="AK431" s="56"/>
    </row>
    <row r="432" spans="1:37" ht="25.5" customHeight="1">
      <c r="A432" s="140" cm="1">
        <f t="array" ref="A432">A431+1</f>
        <v>417</v>
      </c>
      <c r="B432" s="79" t="s">
        <v>898</v>
      </c>
      <c r="C432" s="78">
        <v>4</v>
      </c>
      <c r="D432" s="79" t="s">
        <v>894</v>
      </c>
      <c r="E432" s="79" t="s">
        <v>899</v>
      </c>
      <c r="F432" s="79"/>
      <c r="G432" s="80" t="s">
        <v>874</v>
      </c>
      <c r="H432" s="81">
        <v>67649</v>
      </c>
      <c r="I432" s="82">
        <v>284</v>
      </c>
      <c r="J432" s="98"/>
      <c r="K432" s="155" t="s">
        <v>104</v>
      </c>
      <c r="L432" s="89">
        <v>46001</v>
      </c>
      <c r="M432" s="102">
        <v>46091</v>
      </c>
      <c r="N432" s="86" cm="1">
        <f t="array" ref="N432">WORKDAY(M432,10)</f>
        <v>46105</v>
      </c>
      <c r="O432" s="87">
        <v>0</v>
      </c>
      <c r="P432" s="88">
        <v>0</v>
      </c>
      <c r="Q432" s="89">
        <v>46196</v>
      </c>
      <c r="R432" s="96">
        <v>46227</v>
      </c>
      <c r="S432" s="86" cm="1">
        <f t="array" ref="S432">WORKDAY(R432,10)</f>
        <v>46241</v>
      </c>
      <c r="T432" s="87">
        <v>0</v>
      </c>
      <c r="U432" s="91" t="s">
        <v>105</v>
      </c>
      <c r="V432" s="92">
        <v>0</v>
      </c>
      <c r="W432" s="93" cm="1">
        <f t="array" ref="W432">WORKDAY(X432,-20)</f>
        <v>46308</v>
      </c>
      <c r="X432" s="80" t="s">
        <v>900</v>
      </c>
      <c r="Y432" s="88">
        <v>0</v>
      </c>
      <c r="Z432" s="93">
        <v>46363</v>
      </c>
      <c r="AA432" s="90">
        <v>46405</v>
      </c>
      <c r="AB432" s="88">
        <v>0</v>
      </c>
      <c r="AC432" s="79" t="s">
        <v>49</v>
      </c>
      <c r="AD432" s="79" t="s">
        <v>49</v>
      </c>
      <c r="AE432" s="90"/>
      <c r="AF432" s="88">
        <v>0</v>
      </c>
      <c r="AG432" s="93" cm="1">
        <f t="array" ref="AG432">WORKDAY(AA432,2)</f>
        <v>46407</v>
      </c>
      <c r="AH432" s="90" cm="1">
        <f t="array" ref="AH432">WORKDAY(AG432,1)</f>
        <v>46408</v>
      </c>
      <c r="AI432" s="86" cm="1">
        <f t="array" ref="AI432">WORKDAY(AH432,1)</f>
        <v>46409</v>
      </c>
      <c r="AJ432" s="144"/>
      <c r="AK432" s="56"/>
    </row>
    <row r="433" spans="1:37" ht="25.5" customHeight="1">
      <c r="A433" s="140" cm="1">
        <f t="array" ref="A433">A432+1</f>
        <v>418</v>
      </c>
      <c r="B433" s="79" t="s">
        <v>901</v>
      </c>
      <c r="C433" s="78">
        <v>4</v>
      </c>
      <c r="D433" s="79" t="s">
        <v>894</v>
      </c>
      <c r="E433" s="79" t="s">
        <v>902</v>
      </c>
      <c r="F433" s="79"/>
      <c r="G433" s="80" t="s">
        <v>874</v>
      </c>
      <c r="H433" s="81">
        <v>67649</v>
      </c>
      <c r="I433" s="82">
        <v>285</v>
      </c>
      <c r="J433" s="98"/>
      <c r="K433" s="155" t="s">
        <v>104</v>
      </c>
      <c r="L433" s="89">
        <v>46001</v>
      </c>
      <c r="M433" s="102">
        <v>46091</v>
      </c>
      <c r="N433" s="86" cm="1">
        <f t="array" ref="N433">WORKDAY(M433,10)</f>
        <v>46105</v>
      </c>
      <c r="O433" s="87">
        <v>0</v>
      </c>
      <c r="P433" s="88">
        <v>0</v>
      </c>
      <c r="Q433" s="89">
        <v>46196</v>
      </c>
      <c r="R433" s="96">
        <v>46227</v>
      </c>
      <c r="S433" s="86" cm="1">
        <f t="array" ref="S433">WORKDAY(R433,10)</f>
        <v>46241</v>
      </c>
      <c r="T433" s="87">
        <v>0</v>
      </c>
      <c r="U433" s="91" t="s">
        <v>105</v>
      </c>
      <c r="V433" s="92">
        <v>0</v>
      </c>
      <c r="W433" s="93" cm="1">
        <f t="array" ref="W433">WORKDAY(X433,-20)</f>
        <v>46308</v>
      </c>
      <c r="X433" s="80" t="s">
        <v>900</v>
      </c>
      <c r="Y433" s="88">
        <v>0</v>
      </c>
      <c r="Z433" s="93">
        <v>46364</v>
      </c>
      <c r="AA433" s="90">
        <v>46406</v>
      </c>
      <c r="AB433" s="88">
        <v>0</v>
      </c>
      <c r="AC433" s="79" t="s">
        <v>49</v>
      </c>
      <c r="AD433" s="79" t="s">
        <v>49</v>
      </c>
      <c r="AE433" s="90"/>
      <c r="AF433" s="88">
        <v>0</v>
      </c>
      <c r="AG433" s="93" cm="1">
        <f t="array" ref="AG433">WORKDAY(AA433,2)</f>
        <v>46408</v>
      </c>
      <c r="AH433" s="90" cm="1">
        <f t="array" ref="AH433">WORKDAY(AG433,1)</f>
        <v>46409</v>
      </c>
      <c r="AI433" s="86" cm="1">
        <f t="array" ref="AI433">WORKDAY(AH433,1)</f>
        <v>46412</v>
      </c>
      <c r="AJ433" s="144"/>
      <c r="AK433" s="56"/>
    </row>
    <row r="434" spans="1:37" ht="25.5" customHeight="1">
      <c r="A434" s="140" cm="1">
        <f t="array" ref="A434">A433+1</f>
        <v>419</v>
      </c>
      <c r="B434" s="79" t="s">
        <v>903</v>
      </c>
      <c r="C434" s="78">
        <v>4</v>
      </c>
      <c r="D434" s="79" t="s">
        <v>894</v>
      </c>
      <c r="E434" s="79" t="s">
        <v>904</v>
      </c>
      <c r="F434" s="79"/>
      <c r="G434" s="80" t="s">
        <v>874</v>
      </c>
      <c r="H434" s="81">
        <v>67649</v>
      </c>
      <c r="I434" s="82">
        <v>286</v>
      </c>
      <c r="J434" s="98"/>
      <c r="K434" s="155" t="s">
        <v>104</v>
      </c>
      <c r="L434" s="89">
        <v>46001</v>
      </c>
      <c r="M434" s="102">
        <v>46091</v>
      </c>
      <c r="N434" s="86" cm="1">
        <f t="array" ref="N434">WORKDAY(M434,10)</f>
        <v>46105</v>
      </c>
      <c r="O434" s="87">
        <v>0</v>
      </c>
      <c r="P434" s="88">
        <v>0</v>
      </c>
      <c r="Q434" s="89">
        <v>46196</v>
      </c>
      <c r="R434" s="96">
        <v>46227</v>
      </c>
      <c r="S434" s="86" cm="1">
        <f t="array" ref="S434">WORKDAY(R434,10)</f>
        <v>46241</v>
      </c>
      <c r="T434" s="87">
        <v>0</v>
      </c>
      <c r="U434" s="91" t="s">
        <v>105</v>
      </c>
      <c r="V434" s="92">
        <v>0</v>
      </c>
      <c r="W434" s="93" cm="1">
        <f t="array" ref="W434">WORKDAY(X434,-20)</f>
        <v>46308</v>
      </c>
      <c r="X434" s="80" t="s">
        <v>900</v>
      </c>
      <c r="Y434" s="88">
        <v>0</v>
      </c>
      <c r="Z434" s="93">
        <v>46364</v>
      </c>
      <c r="AA434" s="90">
        <v>46406</v>
      </c>
      <c r="AB434" s="88">
        <v>0</v>
      </c>
      <c r="AC434" s="79" t="s">
        <v>49</v>
      </c>
      <c r="AD434" s="79" t="s">
        <v>49</v>
      </c>
      <c r="AE434" s="90"/>
      <c r="AF434" s="88">
        <v>0</v>
      </c>
      <c r="AG434" s="93" cm="1">
        <f t="array" ref="AG434">WORKDAY(AA434,2)</f>
        <v>46408</v>
      </c>
      <c r="AH434" s="90" cm="1">
        <f t="array" ref="AH434">WORKDAY(AG434,1)</f>
        <v>46409</v>
      </c>
      <c r="AI434" s="86" cm="1">
        <f t="array" ref="AI434">WORKDAY(AH434,1)</f>
        <v>46412</v>
      </c>
      <c r="AJ434" s="144"/>
      <c r="AK434" s="56"/>
    </row>
    <row r="435" spans="1:37" ht="25.5" customHeight="1">
      <c r="A435" s="140" cm="1">
        <f t="array" ref="A435">A434+1</f>
        <v>420</v>
      </c>
      <c r="B435" s="79" t="s">
        <v>905</v>
      </c>
      <c r="C435" s="78">
        <v>4</v>
      </c>
      <c r="D435" s="79" t="s">
        <v>906</v>
      </c>
      <c r="E435" s="79" t="s">
        <v>907</v>
      </c>
      <c r="F435" s="79"/>
      <c r="G435" s="80" t="s">
        <v>874</v>
      </c>
      <c r="H435" s="81">
        <v>67649</v>
      </c>
      <c r="I435" s="82">
        <v>287</v>
      </c>
      <c r="J435" s="98"/>
      <c r="K435" s="155" t="s">
        <v>104</v>
      </c>
      <c r="L435" s="89">
        <v>46001</v>
      </c>
      <c r="M435" s="102">
        <v>46091</v>
      </c>
      <c r="N435" s="86" cm="1">
        <f t="array" ref="N435">WORKDAY(M435,10)</f>
        <v>46105</v>
      </c>
      <c r="O435" s="87">
        <v>0</v>
      </c>
      <c r="P435" s="88">
        <v>0</v>
      </c>
      <c r="Q435" s="89">
        <v>46196</v>
      </c>
      <c r="R435" s="96">
        <v>46227</v>
      </c>
      <c r="S435" s="86" cm="1">
        <f t="array" ref="S435">WORKDAY(R435,10)</f>
        <v>46241</v>
      </c>
      <c r="T435" s="87">
        <v>0</v>
      </c>
      <c r="U435" s="91" t="s">
        <v>105</v>
      </c>
      <c r="V435" s="92">
        <v>0</v>
      </c>
      <c r="W435" s="93" cm="1">
        <f t="array" ref="W435">WORKDAY(X435,-20)</f>
        <v>46309</v>
      </c>
      <c r="X435" s="80" t="s">
        <v>908</v>
      </c>
      <c r="Y435" s="88">
        <v>0</v>
      </c>
      <c r="Z435" s="93">
        <v>46364</v>
      </c>
      <c r="AA435" s="90">
        <v>46406</v>
      </c>
      <c r="AB435" s="88">
        <v>0</v>
      </c>
      <c r="AC435" s="79" t="s">
        <v>49</v>
      </c>
      <c r="AD435" s="79" t="s">
        <v>49</v>
      </c>
      <c r="AE435" s="90"/>
      <c r="AF435" s="88">
        <v>0</v>
      </c>
      <c r="AG435" s="93" cm="1">
        <f t="array" ref="AG435">WORKDAY(AA435,2)</f>
        <v>46408</v>
      </c>
      <c r="AH435" s="90" cm="1">
        <f t="array" ref="AH435">WORKDAY(AG435,1)</f>
        <v>46409</v>
      </c>
      <c r="AI435" s="86" cm="1">
        <f t="array" ref="AI435">WORKDAY(AH435,1)</f>
        <v>46412</v>
      </c>
      <c r="AJ435" s="144"/>
      <c r="AK435" s="56"/>
    </row>
    <row r="436" spans="1:37" ht="25.5" customHeight="1">
      <c r="A436" s="140" cm="1">
        <f t="array" ref="A436">A435+1</f>
        <v>421</v>
      </c>
      <c r="B436" s="79" t="s">
        <v>909</v>
      </c>
      <c r="C436" s="78">
        <v>4</v>
      </c>
      <c r="D436" s="79" t="s">
        <v>906</v>
      </c>
      <c r="E436" s="79" t="s">
        <v>910</v>
      </c>
      <c r="F436" s="79"/>
      <c r="G436" s="80" t="s">
        <v>874</v>
      </c>
      <c r="H436" s="81">
        <v>67649</v>
      </c>
      <c r="I436" s="82">
        <v>288</v>
      </c>
      <c r="J436" s="98"/>
      <c r="K436" s="155" t="s">
        <v>126</v>
      </c>
      <c r="L436" s="89">
        <v>46001</v>
      </c>
      <c r="M436" s="102">
        <v>46091</v>
      </c>
      <c r="N436" s="86" cm="1">
        <f t="array" ref="N436">WORKDAY(M436,10)</f>
        <v>46105</v>
      </c>
      <c r="O436" s="87">
        <v>0</v>
      </c>
      <c r="P436" s="88">
        <v>0</v>
      </c>
      <c r="Q436" s="89">
        <v>46196</v>
      </c>
      <c r="R436" s="96">
        <v>46227</v>
      </c>
      <c r="S436" s="86" cm="1">
        <f t="array" ref="S436">WORKDAY(R436,10)</f>
        <v>46241</v>
      </c>
      <c r="T436" s="87">
        <v>0</v>
      </c>
      <c r="U436" s="91" t="s">
        <v>105</v>
      </c>
      <c r="V436" s="92">
        <v>0</v>
      </c>
      <c r="W436" s="93" cm="1">
        <f t="array" ref="W436">WORKDAY(X436,-20)</f>
        <v>46309</v>
      </c>
      <c r="X436" s="80" t="s">
        <v>908</v>
      </c>
      <c r="Y436" s="88">
        <v>0</v>
      </c>
      <c r="Z436" s="93">
        <v>46365</v>
      </c>
      <c r="AA436" s="90">
        <v>46407</v>
      </c>
      <c r="AB436" s="88">
        <v>0</v>
      </c>
      <c r="AC436" s="79" t="s">
        <v>49</v>
      </c>
      <c r="AD436" s="79" t="s">
        <v>49</v>
      </c>
      <c r="AE436" s="90"/>
      <c r="AF436" s="88">
        <v>0</v>
      </c>
      <c r="AG436" s="93" cm="1">
        <f t="array" ref="AG436">WORKDAY(AA436,2)</f>
        <v>46409</v>
      </c>
      <c r="AH436" s="90" cm="1">
        <f t="array" ref="AH436">WORKDAY(AG436,1)</f>
        <v>46412</v>
      </c>
      <c r="AI436" s="86" cm="1">
        <f t="array" ref="AI436">WORKDAY(AH436,1)</f>
        <v>46413</v>
      </c>
      <c r="AJ436" s="144"/>
      <c r="AK436" s="56"/>
    </row>
    <row r="437" spans="1:37" ht="25.5" customHeight="1">
      <c r="A437" s="140" cm="1">
        <f t="array" ref="A437">A436+1</f>
        <v>422</v>
      </c>
      <c r="B437" s="79" t="s">
        <v>911</v>
      </c>
      <c r="C437" s="78">
        <v>4</v>
      </c>
      <c r="D437" s="79" t="s">
        <v>906</v>
      </c>
      <c r="E437" s="79" t="s">
        <v>912</v>
      </c>
      <c r="F437" s="79"/>
      <c r="G437" s="80" t="s">
        <v>874</v>
      </c>
      <c r="H437" s="81">
        <v>67649</v>
      </c>
      <c r="I437" s="82">
        <v>289</v>
      </c>
      <c r="J437" s="98"/>
      <c r="K437" s="155" t="s">
        <v>126</v>
      </c>
      <c r="L437" s="89">
        <v>46001</v>
      </c>
      <c r="M437" s="102">
        <v>46091</v>
      </c>
      <c r="N437" s="86" cm="1">
        <f t="array" ref="N437">WORKDAY(M437,10)</f>
        <v>46105</v>
      </c>
      <c r="O437" s="87">
        <v>0</v>
      </c>
      <c r="P437" s="88">
        <v>0</v>
      </c>
      <c r="Q437" s="89">
        <v>46196</v>
      </c>
      <c r="R437" s="96">
        <v>46227</v>
      </c>
      <c r="S437" s="86" cm="1">
        <f t="array" ref="S437">WORKDAY(R437,10)</f>
        <v>46241</v>
      </c>
      <c r="T437" s="87">
        <v>0</v>
      </c>
      <c r="U437" s="91" t="s">
        <v>105</v>
      </c>
      <c r="V437" s="92">
        <v>0</v>
      </c>
      <c r="W437" s="93" cm="1">
        <f t="array" ref="W437">WORKDAY(X437,-20)</f>
        <v>46309</v>
      </c>
      <c r="X437" s="80" t="s">
        <v>908</v>
      </c>
      <c r="Y437" s="88">
        <v>0</v>
      </c>
      <c r="Z437" s="93">
        <v>46365</v>
      </c>
      <c r="AA437" s="90">
        <v>46407</v>
      </c>
      <c r="AB437" s="88">
        <v>0</v>
      </c>
      <c r="AC437" s="79" t="s">
        <v>49</v>
      </c>
      <c r="AD437" s="79" t="s">
        <v>49</v>
      </c>
      <c r="AE437" s="90"/>
      <c r="AF437" s="88">
        <v>0</v>
      </c>
      <c r="AG437" s="93" cm="1">
        <f t="array" ref="AG437">WORKDAY(AA437,2)</f>
        <v>46409</v>
      </c>
      <c r="AH437" s="90" cm="1">
        <f t="array" ref="AH437">WORKDAY(AG437,1)</f>
        <v>46412</v>
      </c>
      <c r="AI437" s="86" cm="1">
        <f t="array" ref="AI437">WORKDAY(AH437,1)</f>
        <v>46413</v>
      </c>
      <c r="AJ437" s="144"/>
      <c r="AK437" s="56"/>
    </row>
    <row r="438" spans="1:37" ht="25.5" customHeight="1">
      <c r="A438" s="140" cm="1">
        <f t="array" ref="A438">A437+1</f>
        <v>423</v>
      </c>
      <c r="B438" s="79" t="s">
        <v>913</v>
      </c>
      <c r="C438" s="78">
        <v>4</v>
      </c>
      <c r="D438" s="79" t="s">
        <v>906</v>
      </c>
      <c r="E438" s="79" t="s">
        <v>914</v>
      </c>
      <c r="F438" s="79"/>
      <c r="G438" s="80" t="s">
        <v>874</v>
      </c>
      <c r="H438" s="81">
        <v>67649</v>
      </c>
      <c r="I438" s="82">
        <v>290</v>
      </c>
      <c r="J438" s="98"/>
      <c r="K438" s="155" t="s">
        <v>126</v>
      </c>
      <c r="L438" s="89">
        <v>46001</v>
      </c>
      <c r="M438" s="102">
        <v>46091</v>
      </c>
      <c r="N438" s="86" cm="1">
        <f t="array" ref="N438">WORKDAY(M438,10)</f>
        <v>46105</v>
      </c>
      <c r="O438" s="87">
        <v>0</v>
      </c>
      <c r="P438" s="88">
        <v>0</v>
      </c>
      <c r="Q438" s="89">
        <v>46196</v>
      </c>
      <c r="R438" s="96">
        <v>46227</v>
      </c>
      <c r="S438" s="86" cm="1">
        <f t="array" ref="S438">WORKDAY(R438,10)</f>
        <v>46241</v>
      </c>
      <c r="T438" s="87">
        <v>0</v>
      </c>
      <c r="U438" s="91" t="s">
        <v>105</v>
      </c>
      <c r="V438" s="92">
        <v>0</v>
      </c>
      <c r="W438" s="93" cm="1">
        <f t="array" ref="W438">WORKDAY(X438,-20)</f>
        <v>46310</v>
      </c>
      <c r="X438" s="80" t="s">
        <v>915</v>
      </c>
      <c r="Y438" s="88">
        <v>0</v>
      </c>
      <c r="Z438" s="93">
        <v>46365</v>
      </c>
      <c r="AA438" s="90">
        <v>46407</v>
      </c>
      <c r="AB438" s="88">
        <v>0</v>
      </c>
      <c r="AC438" s="79" t="s">
        <v>49</v>
      </c>
      <c r="AD438" s="79" t="s">
        <v>49</v>
      </c>
      <c r="AE438" s="90"/>
      <c r="AF438" s="88">
        <v>0</v>
      </c>
      <c r="AG438" s="93" cm="1">
        <f t="array" ref="AG438">WORKDAY(AA438,2)</f>
        <v>46409</v>
      </c>
      <c r="AH438" s="90" cm="1">
        <f t="array" ref="AH438">WORKDAY(AG438,1)</f>
        <v>46412</v>
      </c>
      <c r="AI438" s="86" cm="1">
        <f t="array" ref="AI438">WORKDAY(AH438,1)</f>
        <v>46413</v>
      </c>
      <c r="AJ438" s="144"/>
      <c r="AK438" s="56"/>
    </row>
    <row r="439" spans="1:37" ht="25.5" customHeight="1">
      <c r="A439" s="140" cm="1">
        <f t="array" ref="A439">A438+1</f>
        <v>424</v>
      </c>
      <c r="B439" s="79" t="s">
        <v>916</v>
      </c>
      <c r="C439" s="78">
        <v>4</v>
      </c>
      <c r="D439" s="79" t="s">
        <v>906</v>
      </c>
      <c r="E439" s="79" t="s">
        <v>917</v>
      </c>
      <c r="F439" s="79"/>
      <c r="G439" s="80" t="s">
        <v>874</v>
      </c>
      <c r="H439" s="81">
        <v>67649</v>
      </c>
      <c r="I439" s="82">
        <v>291</v>
      </c>
      <c r="J439" s="98"/>
      <c r="K439" s="155" t="s">
        <v>126</v>
      </c>
      <c r="L439" s="89">
        <v>46001</v>
      </c>
      <c r="M439" s="102">
        <v>46091</v>
      </c>
      <c r="N439" s="86" cm="1">
        <f t="array" ref="N439">WORKDAY(M439,10)</f>
        <v>46105</v>
      </c>
      <c r="O439" s="87">
        <v>0</v>
      </c>
      <c r="P439" s="88">
        <v>0</v>
      </c>
      <c r="Q439" s="89">
        <v>46196</v>
      </c>
      <c r="R439" s="96">
        <v>46227</v>
      </c>
      <c r="S439" s="86" cm="1">
        <f t="array" ref="S439">WORKDAY(R439,10)</f>
        <v>46241</v>
      </c>
      <c r="T439" s="87">
        <v>0</v>
      </c>
      <c r="U439" s="91" t="s">
        <v>105</v>
      </c>
      <c r="V439" s="92">
        <v>0</v>
      </c>
      <c r="W439" s="93" cm="1">
        <f t="array" ref="W439">WORKDAY(X439,-20)</f>
        <v>46310</v>
      </c>
      <c r="X439" s="80" t="s">
        <v>915</v>
      </c>
      <c r="Y439" s="88">
        <v>0</v>
      </c>
      <c r="Z439" s="93">
        <v>46366</v>
      </c>
      <c r="AA439" s="90">
        <v>46408</v>
      </c>
      <c r="AB439" s="88">
        <v>0</v>
      </c>
      <c r="AC439" s="79" t="s">
        <v>49</v>
      </c>
      <c r="AD439" s="79" t="s">
        <v>49</v>
      </c>
      <c r="AE439" s="90"/>
      <c r="AF439" s="88">
        <v>0</v>
      </c>
      <c r="AG439" s="93" cm="1">
        <f t="array" ref="AG439">WORKDAY(AA439,2)</f>
        <v>46412</v>
      </c>
      <c r="AH439" s="90" cm="1">
        <f t="array" ref="AH439">WORKDAY(AG439,1)</f>
        <v>46413</v>
      </c>
      <c r="AI439" s="86" cm="1">
        <f t="array" ref="AI439">WORKDAY(AH439,1)</f>
        <v>46414</v>
      </c>
      <c r="AJ439" s="144"/>
      <c r="AK439" s="56"/>
    </row>
    <row r="440" spans="1:37" ht="25.5" customHeight="1">
      <c r="A440" s="140" cm="1">
        <f t="array" ref="A440">A439+1</f>
        <v>425</v>
      </c>
      <c r="B440" s="79" t="s">
        <v>918</v>
      </c>
      <c r="C440" s="78">
        <v>4</v>
      </c>
      <c r="D440" s="79" t="s">
        <v>906</v>
      </c>
      <c r="E440" s="79" t="s">
        <v>919</v>
      </c>
      <c r="F440" s="79"/>
      <c r="G440" s="80" t="s">
        <v>874</v>
      </c>
      <c r="H440" s="81">
        <v>67649</v>
      </c>
      <c r="I440" s="82">
        <v>292</v>
      </c>
      <c r="J440" s="98"/>
      <c r="K440" s="155" t="s">
        <v>126</v>
      </c>
      <c r="L440" s="89">
        <v>46001</v>
      </c>
      <c r="M440" s="102">
        <v>46091</v>
      </c>
      <c r="N440" s="86" cm="1">
        <f t="array" ref="N440">WORKDAY(M440,10)</f>
        <v>46105</v>
      </c>
      <c r="O440" s="87">
        <v>0</v>
      </c>
      <c r="P440" s="88">
        <v>0</v>
      </c>
      <c r="Q440" s="89">
        <v>46196</v>
      </c>
      <c r="R440" s="96">
        <v>46227</v>
      </c>
      <c r="S440" s="86" cm="1">
        <f t="array" ref="S440">WORKDAY(R440,10)</f>
        <v>46241</v>
      </c>
      <c r="T440" s="87">
        <v>0</v>
      </c>
      <c r="U440" s="91" t="s">
        <v>105</v>
      </c>
      <c r="V440" s="92">
        <v>0</v>
      </c>
      <c r="W440" s="93" cm="1">
        <f t="array" ref="W440">WORKDAY(X440,-20)</f>
        <v>46310</v>
      </c>
      <c r="X440" s="80" t="s">
        <v>915</v>
      </c>
      <c r="Y440" s="88">
        <v>0</v>
      </c>
      <c r="Z440" s="93">
        <v>46366</v>
      </c>
      <c r="AA440" s="90">
        <v>46408</v>
      </c>
      <c r="AB440" s="88">
        <v>0</v>
      </c>
      <c r="AC440" s="79" t="s">
        <v>49</v>
      </c>
      <c r="AD440" s="79" t="s">
        <v>49</v>
      </c>
      <c r="AE440" s="90"/>
      <c r="AF440" s="88">
        <v>0</v>
      </c>
      <c r="AG440" s="93" cm="1">
        <f t="array" ref="AG440">WORKDAY(AA440,2)</f>
        <v>46412</v>
      </c>
      <c r="AH440" s="90" cm="1">
        <f t="array" ref="AH440">WORKDAY(AG440,1)</f>
        <v>46413</v>
      </c>
      <c r="AI440" s="86" cm="1">
        <f t="array" ref="AI440">WORKDAY(AH440,1)</f>
        <v>46414</v>
      </c>
      <c r="AJ440" s="144"/>
      <c r="AK440" s="56"/>
    </row>
    <row r="441" spans="1:37" ht="25.5" customHeight="1">
      <c r="A441" s="140" cm="1">
        <f t="array" ref="A441">A440+1</f>
        <v>426</v>
      </c>
      <c r="B441" s="79" t="s">
        <v>920</v>
      </c>
      <c r="C441" s="78">
        <v>4</v>
      </c>
      <c r="D441" s="79" t="s">
        <v>906</v>
      </c>
      <c r="E441" s="79" t="s">
        <v>921</v>
      </c>
      <c r="F441" s="79"/>
      <c r="G441" s="80" t="s">
        <v>874</v>
      </c>
      <c r="H441" s="81">
        <v>67649</v>
      </c>
      <c r="I441" s="82">
        <v>293</v>
      </c>
      <c r="J441" s="98"/>
      <c r="K441" s="155" t="s">
        <v>126</v>
      </c>
      <c r="L441" s="89">
        <v>46001</v>
      </c>
      <c r="M441" s="102">
        <v>46091</v>
      </c>
      <c r="N441" s="86" cm="1">
        <f t="array" ref="N441">WORKDAY(M441,10)</f>
        <v>46105</v>
      </c>
      <c r="O441" s="87">
        <v>0</v>
      </c>
      <c r="P441" s="88">
        <v>0</v>
      </c>
      <c r="Q441" s="89">
        <v>46196</v>
      </c>
      <c r="R441" s="96">
        <v>46227</v>
      </c>
      <c r="S441" s="86" cm="1">
        <f t="array" ref="S441">WORKDAY(R441,10)</f>
        <v>46241</v>
      </c>
      <c r="T441" s="87">
        <v>0</v>
      </c>
      <c r="U441" s="91" t="s">
        <v>105</v>
      </c>
      <c r="V441" s="92">
        <v>0</v>
      </c>
      <c r="W441" s="93" cm="1">
        <f t="array" ref="W441">WORKDAY(X441,-20)</f>
        <v>46311</v>
      </c>
      <c r="X441" s="80" t="s">
        <v>922</v>
      </c>
      <c r="Y441" s="88">
        <v>0</v>
      </c>
      <c r="Z441" s="93">
        <v>46366</v>
      </c>
      <c r="AA441" s="90">
        <v>46408</v>
      </c>
      <c r="AB441" s="88">
        <v>0</v>
      </c>
      <c r="AC441" s="79" t="s">
        <v>49</v>
      </c>
      <c r="AD441" s="79" t="s">
        <v>49</v>
      </c>
      <c r="AE441" s="90"/>
      <c r="AF441" s="88">
        <v>0</v>
      </c>
      <c r="AG441" s="93" cm="1">
        <f t="array" ref="AG441">WORKDAY(AA441,2)</f>
        <v>46412</v>
      </c>
      <c r="AH441" s="90" cm="1">
        <f t="array" ref="AH441">WORKDAY(AG441,1)</f>
        <v>46413</v>
      </c>
      <c r="AI441" s="86" cm="1">
        <f t="array" ref="AI441">WORKDAY(AH441,1)</f>
        <v>46414</v>
      </c>
      <c r="AJ441" s="144"/>
      <c r="AK441" s="56"/>
    </row>
    <row r="442" spans="1:37" ht="25.5" customHeight="1">
      <c r="A442" s="140" cm="1">
        <f t="array" ref="A442">A441+1</f>
        <v>427</v>
      </c>
      <c r="B442" s="79" t="s">
        <v>923</v>
      </c>
      <c r="C442" s="78">
        <v>4</v>
      </c>
      <c r="D442" s="79" t="s">
        <v>924</v>
      </c>
      <c r="E442" s="79" t="s">
        <v>925</v>
      </c>
      <c r="F442" s="79"/>
      <c r="G442" s="80" t="s">
        <v>874</v>
      </c>
      <c r="H442" s="81">
        <v>67649</v>
      </c>
      <c r="I442" s="82">
        <v>294</v>
      </c>
      <c r="J442" s="98"/>
      <c r="K442" s="155" t="s">
        <v>104</v>
      </c>
      <c r="L442" s="89">
        <v>46001</v>
      </c>
      <c r="M442" s="102">
        <v>46091</v>
      </c>
      <c r="N442" s="86" cm="1">
        <f t="array" ref="N442">WORKDAY(M442,10)</f>
        <v>46105</v>
      </c>
      <c r="O442" s="87">
        <v>0</v>
      </c>
      <c r="P442" s="88">
        <v>0</v>
      </c>
      <c r="Q442" s="89">
        <v>46196</v>
      </c>
      <c r="R442" s="96">
        <v>46227</v>
      </c>
      <c r="S442" s="86" cm="1">
        <f t="array" ref="S442">WORKDAY(R442,10)</f>
        <v>46241</v>
      </c>
      <c r="T442" s="87">
        <v>0</v>
      </c>
      <c r="U442" s="91" t="s">
        <v>105</v>
      </c>
      <c r="V442" s="92">
        <v>0</v>
      </c>
      <c r="W442" s="93" cm="1">
        <f t="array" ref="W442">WORKDAY(X442,-20)</f>
        <v>46311</v>
      </c>
      <c r="X442" s="80" t="s">
        <v>922</v>
      </c>
      <c r="Y442" s="88">
        <v>0</v>
      </c>
      <c r="Z442" s="93">
        <v>46367</v>
      </c>
      <c r="AA442" s="90">
        <v>46409</v>
      </c>
      <c r="AB442" s="88">
        <v>0</v>
      </c>
      <c r="AC442" s="79" t="s">
        <v>49</v>
      </c>
      <c r="AD442" s="79" t="s">
        <v>49</v>
      </c>
      <c r="AE442" s="90"/>
      <c r="AF442" s="88">
        <v>0</v>
      </c>
      <c r="AG442" s="93" cm="1">
        <f t="array" ref="AG442">WORKDAY(AA442,2)</f>
        <v>46413</v>
      </c>
      <c r="AH442" s="90" cm="1">
        <f t="array" ref="AH442">WORKDAY(AG442,1)</f>
        <v>46414</v>
      </c>
      <c r="AI442" s="86" cm="1">
        <f t="array" ref="AI442">WORKDAY(AH442,1)</f>
        <v>46415</v>
      </c>
      <c r="AJ442" s="144"/>
      <c r="AK442" s="56"/>
    </row>
    <row r="443" spans="1:37" ht="25.5" customHeight="1">
      <c r="A443" s="140" cm="1">
        <f t="array" ref="A443">A442+1</f>
        <v>428</v>
      </c>
      <c r="B443" s="79" t="s">
        <v>926</v>
      </c>
      <c r="C443" s="78">
        <v>4</v>
      </c>
      <c r="D443" s="79" t="s">
        <v>924</v>
      </c>
      <c r="E443" s="79" t="s">
        <v>927</v>
      </c>
      <c r="F443" s="79"/>
      <c r="G443" s="80" t="s">
        <v>874</v>
      </c>
      <c r="H443" s="81">
        <v>67649</v>
      </c>
      <c r="I443" s="82">
        <v>295</v>
      </c>
      <c r="J443" s="98"/>
      <c r="K443" s="155" t="s">
        <v>104</v>
      </c>
      <c r="L443" s="89">
        <v>46001</v>
      </c>
      <c r="M443" s="102">
        <v>46091</v>
      </c>
      <c r="N443" s="86" cm="1">
        <f t="array" ref="N443">WORKDAY(M443,10)</f>
        <v>46105</v>
      </c>
      <c r="O443" s="87">
        <v>0</v>
      </c>
      <c r="P443" s="88">
        <v>0</v>
      </c>
      <c r="Q443" s="89">
        <v>46196</v>
      </c>
      <c r="R443" s="96">
        <v>46227</v>
      </c>
      <c r="S443" s="86" cm="1">
        <f t="array" ref="S443">WORKDAY(R443,10)</f>
        <v>46241</v>
      </c>
      <c r="T443" s="87">
        <v>0</v>
      </c>
      <c r="U443" s="91" t="s">
        <v>105</v>
      </c>
      <c r="V443" s="92">
        <v>0</v>
      </c>
      <c r="W443" s="93" cm="1">
        <f t="array" ref="W443">WORKDAY(X443,-20)</f>
        <v>46311</v>
      </c>
      <c r="X443" s="80" t="s">
        <v>922</v>
      </c>
      <c r="Y443" s="88">
        <v>0</v>
      </c>
      <c r="Z443" s="93">
        <v>46367</v>
      </c>
      <c r="AA443" s="90">
        <v>46409</v>
      </c>
      <c r="AB443" s="88">
        <v>0</v>
      </c>
      <c r="AC443" s="79" t="s">
        <v>49</v>
      </c>
      <c r="AD443" s="79" t="s">
        <v>49</v>
      </c>
      <c r="AE443" s="90"/>
      <c r="AF443" s="88">
        <v>0</v>
      </c>
      <c r="AG443" s="93" cm="1">
        <f t="array" ref="AG443">WORKDAY(AA443,2)</f>
        <v>46413</v>
      </c>
      <c r="AH443" s="90" cm="1">
        <f t="array" ref="AH443">WORKDAY(AG443,1)</f>
        <v>46414</v>
      </c>
      <c r="AI443" s="86" cm="1">
        <f t="array" ref="AI443">WORKDAY(AH443,1)</f>
        <v>46415</v>
      </c>
      <c r="AJ443" s="144"/>
      <c r="AK443" s="56"/>
    </row>
    <row r="444" spans="1:37" ht="25.5" customHeight="1">
      <c r="A444" s="140" cm="1">
        <f t="array" ref="A444">A443+1</f>
        <v>429</v>
      </c>
      <c r="B444" s="79" t="s">
        <v>928</v>
      </c>
      <c r="C444" s="78">
        <v>4</v>
      </c>
      <c r="D444" s="79" t="s">
        <v>924</v>
      </c>
      <c r="E444" s="79" t="s">
        <v>929</v>
      </c>
      <c r="F444" s="79"/>
      <c r="G444" s="80" t="s">
        <v>874</v>
      </c>
      <c r="H444" s="81">
        <v>67649</v>
      </c>
      <c r="I444" s="82">
        <v>296</v>
      </c>
      <c r="J444" s="98"/>
      <c r="K444" s="155" t="s">
        <v>104</v>
      </c>
      <c r="L444" s="89">
        <v>46001</v>
      </c>
      <c r="M444" s="102">
        <v>46091</v>
      </c>
      <c r="N444" s="86" cm="1">
        <f t="array" ref="N444">WORKDAY(M444,10)</f>
        <v>46105</v>
      </c>
      <c r="O444" s="87">
        <v>0</v>
      </c>
      <c r="P444" s="88">
        <v>0</v>
      </c>
      <c r="Q444" s="89">
        <v>46196</v>
      </c>
      <c r="R444" s="96">
        <v>46227</v>
      </c>
      <c r="S444" s="86" cm="1">
        <f t="array" ref="S444">WORKDAY(R444,10)</f>
        <v>46241</v>
      </c>
      <c r="T444" s="87">
        <v>0</v>
      </c>
      <c r="U444" s="91" t="s">
        <v>105</v>
      </c>
      <c r="V444" s="92">
        <v>0</v>
      </c>
      <c r="W444" s="93" cm="1">
        <f t="array" ref="W444">WORKDAY(X444,-20)</f>
        <v>46314</v>
      </c>
      <c r="X444" s="80" t="s">
        <v>930</v>
      </c>
      <c r="Y444" s="88">
        <v>0</v>
      </c>
      <c r="Z444" s="93">
        <v>46367</v>
      </c>
      <c r="AA444" s="90">
        <v>46409</v>
      </c>
      <c r="AB444" s="88">
        <v>0</v>
      </c>
      <c r="AC444" s="79" t="s">
        <v>49</v>
      </c>
      <c r="AD444" s="79" t="s">
        <v>49</v>
      </c>
      <c r="AE444" s="90"/>
      <c r="AF444" s="88">
        <v>0</v>
      </c>
      <c r="AG444" s="93" cm="1">
        <f t="array" ref="AG444">WORKDAY(AA444,2)</f>
        <v>46413</v>
      </c>
      <c r="AH444" s="90" cm="1">
        <f t="array" ref="AH444">WORKDAY(AG444,1)</f>
        <v>46414</v>
      </c>
      <c r="AI444" s="86" cm="1">
        <f t="array" ref="AI444">WORKDAY(AH444,1)</f>
        <v>46415</v>
      </c>
      <c r="AJ444" s="144"/>
      <c r="AK444" s="56"/>
    </row>
    <row r="445" spans="1:37" ht="25.5" customHeight="1">
      <c r="A445" s="140" cm="1">
        <f t="array" ref="A445">A444+1</f>
        <v>430</v>
      </c>
      <c r="B445" s="79" t="s">
        <v>931</v>
      </c>
      <c r="C445" s="78">
        <v>4</v>
      </c>
      <c r="D445" s="79" t="s">
        <v>924</v>
      </c>
      <c r="E445" s="79" t="s">
        <v>932</v>
      </c>
      <c r="F445" s="79"/>
      <c r="G445" s="80" t="s">
        <v>874</v>
      </c>
      <c r="H445" s="81">
        <v>67649</v>
      </c>
      <c r="I445" s="82">
        <v>297</v>
      </c>
      <c r="J445" s="98"/>
      <c r="K445" s="83" t="s">
        <v>104</v>
      </c>
      <c r="L445" s="103">
        <v>46001</v>
      </c>
      <c r="M445" s="85">
        <v>46091</v>
      </c>
      <c r="N445" s="86" cm="1">
        <f t="array" ref="N445">WORKDAY(M445,10)</f>
        <v>46105</v>
      </c>
      <c r="O445" s="87">
        <v>0</v>
      </c>
      <c r="P445" s="88">
        <v>0</v>
      </c>
      <c r="Q445" s="89">
        <v>46196</v>
      </c>
      <c r="R445" s="96">
        <v>46227</v>
      </c>
      <c r="S445" s="86" cm="1">
        <f t="array" ref="S445">WORKDAY(R445,10)</f>
        <v>46241</v>
      </c>
      <c r="T445" s="87">
        <v>0</v>
      </c>
      <c r="U445" s="91" t="s">
        <v>105</v>
      </c>
      <c r="V445" s="92">
        <v>0</v>
      </c>
      <c r="W445" s="93" cm="1">
        <f t="array" ref="W445">WORKDAY(X445,-20)</f>
        <v>46314</v>
      </c>
      <c r="X445" s="80" t="s">
        <v>930</v>
      </c>
      <c r="Y445" s="88">
        <v>0</v>
      </c>
      <c r="Z445" s="93">
        <v>46370</v>
      </c>
      <c r="AA445" s="90">
        <v>46412</v>
      </c>
      <c r="AB445" s="88">
        <v>0</v>
      </c>
      <c r="AC445" s="79" t="s">
        <v>49</v>
      </c>
      <c r="AD445" s="79" t="s">
        <v>49</v>
      </c>
      <c r="AE445" s="90"/>
      <c r="AF445" s="88">
        <v>0</v>
      </c>
      <c r="AG445" s="93" cm="1">
        <f t="array" ref="AG445">WORKDAY(AA445,2)</f>
        <v>46414</v>
      </c>
      <c r="AH445" s="90" cm="1">
        <f t="array" ref="AH445">WORKDAY(AG445,1)</f>
        <v>46415</v>
      </c>
      <c r="AI445" s="86" cm="1">
        <f t="array" ref="AI445">WORKDAY(AH445,1)</f>
        <v>46416</v>
      </c>
      <c r="AJ445" s="144"/>
      <c r="AK445" s="56"/>
    </row>
    <row r="446" spans="1:37" ht="25.5" customHeight="1">
      <c r="A446" s="140" cm="1">
        <f t="array" ref="A446">A445+1</f>
        <v>431</v>
      </c>
      <c r="B446" s="79" t="s">
        <v>933</v>
      </c>
      <c r="C446" s="78">
        <v>4</v>
      </c>
      <c r="D446" s="79" t="s">
        <v>924</v>
      </c>
      <c r="E446" s="79" t="s">
        <v>934</v>
      </c>
      <c r="F446" s="79"/>
      <c r="G446" s="80" t="s">
        <v>874</v>
      </c>
      <c r="H446" s="81">
        <v>67649</v>
      </c>
      <c r="I446" s="82">
        <v>298</v>
      </c>
      <c r="J446" s="98"/>
      <c r="K446" s="83" t="s">
        <v>104</v>
      </c>
      <c r="L446" s="84">
        <v>46001</v>
      </c>
      <c r="M446" s="85">
        <v>46091</v>
      </c>
      <c r="N446" s="86" cm="1">
        <f t="array" ref="N446">WORKDAY(M446,10)</f>
        <v>46105</v>
      </c>
      <c r="O446" s="87">
        <v>0</v>
      </c>
      <c r="P446" s="88">
        <v>0</v>
      </c>
      <c r="Q446" s="89">
        <v>46196</v>
      </c>
      <c r="R446" s="96">
        <v>46227</v>
      </c>
      <c r="S446" s="86" cm="1">
        <f t="array" ref="S446">WORKDAY(R446,10)</f>
        <v>46241</v>
      </c>
      <c r="T446" s="87">
        <v>0</v>
      </c>
      <c r="U446" s="91" t="s">
        <v>105</v>
      </c>
      <c r="V446" s="92">
        <v>0</v>
      </c>
      <c r="W446" s="93" cm="1">
        <f t="array" ref="W446">WORKDAY(X446,-20)</f>
        <v>46314</v>
      </c>
      <c r="X446" s="80" t="s">
        <v>930</v>
      </c>
      <c r="Y446" s="88">
        <v>0</v>
      </c>
      <c r="Z446" s="93">
        <v>46370</v>
      </c>
      <c r="AA446" s="90">
        <v>46412</v>
      </c>
      <c r="AB446" s="88">
        <v>0</v>
      </c>
      <c r="AC446" s="79" t="s">
        <v>49</v>
      </c>
      <c r="AD446" s="79" t="s">
        <v>49</v>
      </c>
      <c r="AE446" s="90"/>
      <c r="AF446" s="88">
        <v>0</v>
      </c>
      <c r="AG446" s="93" cm="1">
        <f t="array" ref="AG446">WORKDAY(AA446,2)</f>
        <v>46414</v>
      </c>
      <c r="AH446" s="90" cm="1">
        <f t="array" ref="AH446">WORKDAY(AG446,1)</f>
        <v>46415</v>
      </c>
      <c r="AI446" s="86" cm="1">
        <f t="array" ref="AI446">WORKDAY(AH446,1)</f>
        <v>46416</v>
      </c>
      <c r="AJ446" s="144"/>
      <c r="AK446" s="56"/>
    </row>
    <row r="447" spans="1:37" ht="25.5" customHeight="1">
      <c r="A447" s="140" cm="1">
        <f t="array" ref="A447">A446+1</f>
        <v>432</v>
      </c>
      <c r="B447" s="79" t="s">
        <v>935</v>
      </c>
      <c r="C447" s="78">
        <v>4</v>
      </c>
      <c r="D447" s="79" t="s">
        <v>924</v>
      </c>
      <c r="E447" s="79" t="s">
        <v>936</v>
      </c>
      <c r="F447" s="79"/>
      <c r="G447" s="80" t="s">
        <v>874</v>
      </c>
      <c r="H447" s="81">
        <v>67649</v>
      </c>
      <c r="I447" s="82">
        <v>299</v>
      </c>
      <c r="J447" s="98"/>
      <c r="K447" s="83" t="s">
        <v>126</v>
      </c>
      <c r="L447" s="84">
        <v>46001</v>
      </c>
      <c r="M447" s="85">
        <v>46091</v>
      </c>
      <c r="N447" s="86" cm="1">
        <f t="array" ref="N447">WORKDAY(M447,10)</f>
        <v>46105</v>
      </c>
      <c r="O447" s="87">
        <v>0</v>
      </c>
      <c r="P447" s="88">
        <v>0</v>
      </c>
      <c r="Q447" s="89">
        <v>46196</v>
      </c>
      <c r="R447" s="96">
        <v>46227</v>
      </c>
      <c r="S447" s="86" cm="1">
        <f t="array" ref="S447">WORKDAY(R447,10)</f>
        <v>46241</v>
      </c>
      <c r="T447" s="87">
        <v>0</v>
      </c>
      <c r="U447" s="91" t="s">
        <v>105</v>
      </c>
      <c r="V447" s="92">
        <v>0</v>
      </c>
      <c r="W447" s="93" cm="1">
        <f t="array" ref="W447">WORKDAY(X447,-20)</f>
        <v>46315</v>
      </c>
      <c r="X447" s="80" t="s">
        <v>937</v>
      </c>
      <c r="Y447" s="88">
        <v>0</v>
      </c>
      <c r="Z447" s="93">
        <v>46370</v>
      </c>
      <c r="AA447" s="90">
        <v>46412</v>
      </c>
      <c r="AB447" s="88">
        <v>0</v>
      </c>
      <c r="AC447" s="79" t="s">
        <v>49</v>
      </c>
      <c r="AD447" s="79" t="s">
        <v>49</v>
      </c>
      <c r="AE447" s="90"/>
      <c r="AF447" s="88">
        <v>0</v>
      </c>
      <c r="AG447" s="93" cm="1">
        <f t="array" ref="AG447">WORKDAY(AA447,2)</f>
        <v>46414</v>
      </c>
      <c r="AH447" s="90" cm="1">
        <f t="array" ref="AH447">WORKDAY(AG447,1)</f>
        <v>46415</v>
      </c>
      <c r="AI447" s="86" cm="1">
        <f t="array" ref="AI447">WORKDAY(AH447,1)</f>
        <v>46416</v>
      </c>
      <c r="AJ447" s="144"/>
      <c r="AK447" s="56"/>
    </row>
    <row r="448" spans="1:37" ht="25.5" customHeight="1">
      <c r="A448" s="140" cm="1">
        <f t="array" ref="A448">A447+1</f>
        <v>433</v>
      </c>
      <c r="B448" s="79" t="s">
        <v>938</v>
      </c>
      <c r="C448" s="78">
        <v>4</v>
      </c>
      <c r="D448" s="79" t="s">
        <v>906</v>
      </c>
      <c r="E448" s="79" t="s">
        <v>939</v>
      </c>
      <c r="F448" s="79"/>
      <c r="G448" s="80" t="s">
        <v>874</v>
      </c>
      <c r="H448" s="81">
        <v>67649</v>
      </c>
      <c r="I448" s="82">
        <v>300</v>
      </c>
      <c r="J448" s="98"/>
      <c r="K448" s="83" t="s">
        <v>104</v>
      </c>
      <c r="L448" s="101">
        <v>46001</v>
      </c>
      <c r="M448" s="85">
        <v>46091</v>
      </c>
      <c r="N448" s="86" cm="1">
        <f t="array" ref="N448">WORKDAY(M448,10)</f>
        <v>46105</v>
      </c>
      <c r="O448" s="87">
        <v>0</v>
      </c>
      <c r="P448" s="88">
        <v>0</v>
      </c>
      <c r="Q448" s="89">
        <v>46196</v>
      </c>
      <c r="R448" s="96">
        <v>46227</v>
      </c>
      <c r="S448" s="86" cm="1">
        <f t="array" ref="S448">WORKDAY(R448,10)</f>
        <v>46241</v>
      </c>
      <c r="T448" s="87">
        <v>0</v>
      </c>
      <c r="U448" s="91" t="s">
        <v>105</v>
      </c>
      <c r="V448" s="92">
        <v>0</v>
      </c>
      <c r="W448" s="93" cm="1">
        <f t="array" ref="W448">WORKDAY(X448,-20)</f>
        <v>46315</v>
      </c>
      <c r="X448" s="80" t="s">
        <v>937</v>
      </c>
      <c r="Y448" s="88">
        <v>0</v>
      </c>
      <c r="Z448" s="93">
        <v>46371</v>
      </c>
      <c r="AA448" s="90">
        <v>46413</v>
      </c>
      <c r="AB448" s="88">
        <v>0</v>
      </c>
      <c r="AC448" s="79" t="s">
        <v>49</v>
      </c>
      <c r="AD448" s="79" t="s">
        <v>49</v>
      </c>
      <c r="AE448" s="90"/>
      <c r="AF448" s="88">
        <v>0</v>
      </c>
      <c r="AG448" s="93" cm="1">
        <f t="array" ref="AG448">WORKDAY(AA448,2)</f>
        <v>46415</v>
      </c>
      <c r="AH448" s="90" cm="1">
        <f t="array" ref="AH448">WORKDAY(AG448,1)</f>
        <v>46416</v>
      </c>
      <c r="AI448" s="86" cm="1">
        <f t="array" ref="AI448">WORKDAY(AH448,1)</f>
        <v>46419</v>
      </c>
      <c r="AJ448" s="144"/>
      <c r="AK448" s="56"/>
    </row>
    <row r="449" spans="1:37" ht="25.5" customHeight="1">
      <c r="A449" s="140" cm="1">
        <f t="array" ref="A449">A448+1</f>
        <v>434</v>
      </c>
      <c r="B449" s="79" t="s">
        <v>940</v>
      </c>
      <c r="C449" s="78">
        <v>4</v>
      </c>
      <c r="D449" s="79" t="s">
        <v>906</v>
      </c>
      <c r="E449" s="79" t="s">
        <v>941</v>
      </c>
      <c r="F449" s="79"/>
      <c r="G449" s="80" t="s">
        <v>874</v>
      </c>
      <c r="H449" s="81">
        <v>67649</v>
      </c>
      <c r="I449" s="82">
        <v>301</v>
      </c>
      <c r="J449" s="98"/>
      <c r="K449" s="83" t="s">
        <v>126</v>
      </c>
      <c r="L449" s="148">
        <v>46001</v>
      </c>
      <c r="M449" s="102">
        <v>46091</v>
      </c>
      <c r="N449" s="86" cm="1">
        <f t="array" ref="N449">WORKDAY(M449,10)</f>
        <v>46105</v>
      </c>
      <c r="O449" s="87">
        <v>0</v>
      </c>
      <c r="P449" s="88">
        <v>0</v>
      </c>
      <c r="Q449" s="89">
        <v>46196</v>
      </c>
      <c r="R449" s="96">
        <v>46227</v>
      </c>
      <c r="S449" s="86" cm="1">
        <f t="array" ref="S449">WORKDAY(R449,10)</f>
        <v>46241</v>
      </c>
      <c r="T449" s="87">
        <v>0</v>
      </c>
      <c r="U449" s="91" t="s">
        <v>105</v>
      </c>
      <c r="V449" s="92">
        <v>0</v>
      </c>
      <c r="W449" s="93" cm="1">
        <f t="array" ref="W449">WORKDAY(X449,-20)</f>
        <v>46315</v>
      </c>
      <c r="X449" s="80" t="s">
        <v>937</v>
      </c>
      <c r="Y449" s="88">
        <v>0</v>
      </c>
      <c r="Z449" s="93">
        <v>46371</v>
      </c>
      <c r="AA449" s="90">
        <v>46413</v>
      </c>
      <c r="AB449" s="88">
        <v>0</v>
      </c>
      <c r="AC449" s="79" t="s">
        <v>49</v>
      </c>
      <c r="AD449" s="79" t="s">
        <v>49</v>
      </c>
      <c r="AE449" s="90"/>
      <c r="AF449" s="88">
        <v>0</v>
      </c>
      <c r="AG449" s="93" cm="1">
        <f t="array" ref="AG449">WORKDAY(AA449,2)</f>
        <v>46415</v>
      </c>
      <c r="AH449" s="90" cm="1">
        <f t="array" ref="AH449">WORKDAY(AG449,1)</f>
        <v>46416</v>
      </c>
      <c r="AI449" s="86" cm="1">
        <f t="array" ref="AI449">WORKDAY(AH449,1)</f>
        <v>46419</v>
      </c>
      <c r="AJ449" s="144"/>
      <c r="AK449" s="56"/>
    </row>
    <row r="450" spans="1:37" ht="25.5" customHeight="1">
      <c r="A450" s="140" cm="1">
        <f t="array" ref="A450">A449+1</f>
        <v>435</v>
      </c>
      <c r="B450" s="79" t="s">
        <v>942</v>
      </c>
      <c r="C450" s="78">
        <v>4</v>
      </c>
      <c r="D450" s="79" t="s">
        <v>906</v>
      </c>
      <c r="E450" s="79" t="s">
        <v>943</v>
      </c>
      <c r="F450" s="79"/>
      <c r="G450" s="80" t="s">
        <v>874</v>
      </c>
      <c r="H450" s="81">
        <v>67649</v>
      </c>
      <c r="I450" s="82">
        <v>302</v>
      </c>
      <c r="J450" s="98"/>
      <c r="K450" s="83" t="s">
        <v>126</v>
      </c>
      <c r="L450" s="103">
        <v>46001</v>
      </c>
      <c r="M450" s="85">
        <v>46091</v>
      </c>
      <c r="N450" s="86" cm="1">
        <f t="array" ref="N450">WORKDAY(M450,10)</f>
        <v>46105</v>
      </c>
      <c r="O450" s="87">
        <v>0</v>
      </c>
      <c r="P450" s="88">
        <v>0</v>
      </c>
      <c r="Q450" s="89">
        <v>46196</v>
      </c>
      <c r="R450" s="96">
        <v>46227</v>
      </c>
      <c r="S450" s="86" cm="1">
        <f t="array" ref="S450">WORKDAY(R450,10)</f>
        <v>46241</v>
      </c>
      <c r="T450" s="87">
        <v>0</v>
      </c>
      <c r="U450" s="91" t="s">
        <v>105</v>
      </c>
      <c r="V450" s="92">
        <v>0</v>
      </c>
      <c r="W450" s="93" cm="1">
        <f t="array" ref="W450">WORKDAY(X450,-20)</f>
        <v>46316</v>
      </c>
      <c r="X450" s="80" t="s">
        <v>944</v>
      </c>
      <c r="Y450" s="88">
        <v>0</v>
      </c>
      <c r="Z450" s="93">
        <v>46371</v>
      </c>
      <c r="AA450" s="90">
        <v>46413</v>
      </c>
      <c r="AB450" s="88">
        <v>0</v>
      </c>
      <c r="AC450" s="79" t="s">
        <v>49</v>
      </c>
      <c r="AD450" s="79" t="s">
        <v>49</v>
      </c>
      <c r="AE450" s="90"/>
      <c r="AF450" s="88">
        <v>0</v>
      </c>
      <c r="AG450" s="93" cm="1">
        <f t="array" ref="AG450">WORKDAY(AA450,2)</f>
        <v>46415</v>
      </c>
      <c r="AH450" s="90" cm="1">
        <f t="array" ref="AH450">WORKDAY(AG450,1)</f>
        <v>46416</v>
      </c>
      <c r="AI450" s="86" cm="1">
        <f t="array" ref="AI450">WORKDAY(AH450,1)</f>
        <v>46419</v>
      </c>
      <c r="AJ450" s="144"/>
      <c r="AK450" s="56"/>
    </row>
    <row r="451" spans="1:37" ht="25.5" customHeight="1">
      <c r="A451" s="140" cm="1">
        <f t="array" ref="A451">A450+1</f>
        <v>436</v>
      </c>
      <c r="B451" s="79" t="s">
        <v>945</v>
      </c>
      <c r="C451" s="78">
        <v>4</v>
      </c>
      <c r="D451" s="79" t="s">
        <v>906</v>
      </c>
      <c r="E451" s="79" t="s">
        <v>946</v>
      </c>
      <c r="F451" s="79"/>
      <c r="G451" s="80" t="s">
        <v>874</v>
      </c>
      <c r="H451" s="81">
        <v>67649</v>
      </c>
      <c r="I451" s="82">
        <v>303</v>
      </c>
      <c r="J451" s="98"/>
      <c r="K451" s="83" t="s">
        <v>126</v>
      </c>
      <c r="L451" s="84">
        <v>46001</v>
      </c>
      <c r="M451" s="85">
        <v>46091</v>
      </c>
      <c r="N451" s="86" cm="1">
        <f t="array" ref="N451">WORKDAY(M451,10)</f>
        <v>46105</v>
      </c>
      <c r="O451" s="87">
        <v>0</v>
      </c>
      <c r="P451" s="88">
        <v>0</v>
      </c>
      <c r="Q451" s="89">
        <v>46196</v>
      </c>
      <c r="R451" s="96">
        <v>46227</v>
      </c>
      <c r="S451" s="86" cm="1">
        <f t="array" ref="S451">WORKDAY(R451,10)</f>
        <v>46241</v>
      </c>
      <c r="T451" s="87">
        <v>0</v>
      </c>
      <c r="U451" s="91" t="s">
        <v>105</v>
      </c>
      <c r="V451" s="92">
        <v>0</v>
      </c>
      <c r="W451" s="93" cm="1">
        <f t="array" ref="W451">WORKDAY(X451,-20)</f>
        <v>46316</v>
      </c>
      <c r="X451" s="80" t="s">
        <v>944</v>
      </c>
      <c r="Y451" s="88">
        <v>0</v>
      </c>
      <c r="Z451" s="93">
        <v>46372</v>
      </c>
      <c r="AA451" s="90">
        <v>46414</v>
      </c>
      <c r="AB451" s="88">
        <v>0</v>
      </c>
      <c r="AC451" s="79" t="s">
        <v>49</v>
      </c>
      <c r="AD451" s="79" t="s">
        <v>49</v>
      </c>
      <c r="AE451" s="90"/>
      <c r="AF451" s="88">
        <v>0</v>
      </c>
      <c r="AG451" s="93" cm="1">
        <f t="array" ref="AG451">WORKDAY(AA451,2)</f>
        <v>46416</v>
      </c>
      <c r="AH451" s="90" cm="1">
        <f t="array" ref="AH451">WORKDAY(AG451,1)</f>
        <v>46419</v>
      </c>
      <c r="AI451" s="86" cm="1">
        <f t="array" ref="AI451">WORKDAY(AH451,1)</f>
        <v>46420</v>
      </c>
      <c r="AJ451" s="144"/>
      <c r="AK451" s="56"/>
    </row>
    <row r="452" spans="1:37" ht="25.5" customHeight="1">
      <c r="A452" s="140" cm="1">
        <f t="array" ref="A452">A451+1</f>
        <v>437</v>
      </c>
      <c r="B452" s="79" t="s">
        <v>947</v>
      </c>
      <c r="C452" s="78">
        <v>4</v>
      </c>
      <c r="D452" s="79" t="s">
        <v>906</v>
      </c>
      <c r="E452" s="79" t="s">
        <v>948</v>
      </c>
      <c r="F452" s="79"/>
      <c r="G452" s="80" t="s">
        <v>874</v>
      </c>
      <c r="H452" s="81">
        <v>67649</v>
      </c>
      <c r="I452" s="82">
        <v>304</v>
      </c>
      <c r="J452" s="98"/>
      <c r="K452" s="83" t="s">
        <v>104</v>
      </c>
      <c r="L452" s="84">
        <v>46001</v>
      </c>
      <c r="M452" s="85">
        <v>46091</v>
      </c>
      <c r="N452" s="86" cm="1">
        <f t="array" ref="N452">WORKDAY(M452,10)</f>
        <v>46105</v>
      </c>
      <c r="O452" s="87">
        <v>0</v>
      </c>
      <c r="P452" s="88">
        <v>0</v>
      </c>
      <c r="Q452" s="89">
        <v>46196</v>
      </c>
      <c r="R452" s="96">
        <v>46227</v>
      </c>
      <c r="S452" s="86" cm="1">
        <f t="array" ref="S452">WORKDAY(R452,10)</f>
        <v>46241</v>
      </c>
      <c r="T452" s="87">
        <v>0</v>
      </c>
      <c r="U452" s="91" t="s">
        <v>105</v>
      </c>
      <c r="V452" s="92">
        <v>0</v>
      </c>
      <c r="W452" s="93" cm="1">
        <f t="array" ref="W452">WORKDAY(X452,-20)</f>
        <v>46316</v>
      </c>
      <c r="X452" s="80" t="s">
        <v>944</v>
      </c>
      <c r="Y452" s="88">
        <v>0</v>
      </c>
      <c r="Z452" s="93">
        <v>46372</v>
      </c>
      <c r="AA452" s="90">
        <v>46414</v>
      </c>
      <c r="AB452" s="88">
        <v>0</v>
      </c>
      <c r="AC452" s="79" t="s">
        <v>49</v>
      </c>
      <c r="AD452" s="79" t="s">
        <v>49</v>
      </c>
      <c r="AE452" s="90"/>
      <c r="AF452" s="88">
        <v>0</v>
      </c>
      <c r="AG452" s="93" cm="1">
        <f t="array" ref="AG452">WORKDAY(AA452,2)</f>
        <v>46416</v>
      </c>
      <c r="AH452" s="90" cm="1">
        <f t="array" ref="AH452">WORKDAY(AG452,1)</f>
        <v>46419</v>
      </c>
      <c r="AI452" s="86" cm="1">
        <f t="array" ref="AI452">WORKDAY(AH452,1)</f>
        <v>46420</v>
      </c>
      <c r="AJ452" s="144"/>
      <c r="AK452" s="56"/>
    </row>
    <row r="453" spans="1:37" ht="25.5" customHeight="1">
      <c r="A453" s="140" cm="1">
        <f t="array" ref="A453">A452+1</f>
        <v>438</v>
      </c>
      <c r="B453" s="79" t="s">
        <v>949</v>
      </c>
      <c r="C453" s="78">
        <v>4</v>
      </c>
      <c r="D453" s="79" t="s">
        <v>950</v>
      </c>
      <c r="E453" s="79" t="s">
        <v>951</v>
      </c>
      <c r="F453" s="79"/>
      <c r="G453" s="80" t="s">
        <v>109</v>
      </c>
      <c r="H453" s="81">
        <v>45146</v>
      </c>
      <c r="I453" s="82">
        <v>305</v>
      </c>
      <c r="J453" s="98"/>
      <c r="K453" s="83" t="s">
        <v>104</v>
      </c>
      <c r="L453" s="84">
        <v>46001</v>
      </c>
      <c r="M453" s="85">
        <v>46053</v>
      </c>
      <c r="N453" s="86" cm="1">
        <f t="array" ref="N453">WORKDAY(M453,10)</f>
        <v>46066</v>
      </c>
      <c r="O453" s="87">
        <v>0</v>
      </c>
      <c r="P453" s="88">
        <v>0</v>
      </c>
      <c r="Q453" s="89">
        <v>46196</v>
      </c>
      <c r="R453" s="96">
        <v>46227</v>
      </c>
      <c r="S453" s="86" cm="1">
        <f t="array" ref="S453">WORKDAY(R453,10)</f>
        <v>46241</v>
      </c>
      <c r="T453" s="87">
        <v>0</v>
      </c>
      <c r="U453" s="91" t="s">
        <v>105</v>
      </c>
      <c r="V453" s="92">
        <v>0</v>
      </c>
      <c r="W453" s="93" cm="1">
        <f t="array" ref="W453">WORKDAY(X453,-20)</f>
        <v>46317</v>
      </c>
      <c r="X453" s="80" t="s">
        <v>952</v>
      </c>
      <c r="Y453" s="88">
        <v>0</v>
      </c>
      <c r="Z453" s="93">
        <v>46372</v>
      </c>
      <c r="AA453" s="90">
        <v>46414</v>
      </c>
      <c r="AB453" s="88">
        <v>0</v>
      </c>
      <c r="AC453" s="79" t="s">
        <v>49</v>
      </c>
      <c r="AD453" s="79" t="s">
        <v>49</v>
      </c>
      <c r="AE453" s="90"/>
      <c r="AF453" s="88">
        <v>0</v>
      </c>
      <c r="AG453" s="93" cm="1">
        <f t="array" ref="AG453">WORKDAY(AA453,2)</f>
        <v>46416</v>
      </c>
      <c r="AH453" s="90" cm="1">
        <f t="array" ref="AH453">WORKDAY(AG453,1)</f>
        <v>46419</v>
      </c>
      <c r="AI453" s="86" cm="1">
        <f t="array" ref="AI453">WORKDAY(AH453,1)</f>
        <v>46420</v>
      </c>
      <c r="AJ453" s="144"/>
      <c r="AK453" s="56"/>
    </row>
    <row r="454" spans="1:37" ht="25.5" customHeight="1">
      <c r="A454" s="140" cm="1">
        <f t="array" ref="A454">A453+1</f>
        <v>439</v>
      </c>
      <c r="B454" s="79" t="s">
        <v>953</v>
      </c>
      <c r="C454" s="78">
        <v>4</v>
      </c>
      <c r="D454" s="79" t="s">
        <v>950</v>
      </c>
      <c r="E454" s="79" t="s">
        <v>954</v>
      </c>
      <c r="F454" s="79"/>
      <c r="G454" s="80" t="s">
        <v>109</v>
      </c>
      <c r="H454" s="81">
        <v>45146</v>
      </c>
      <c r="I454" s="82">
        <v>306</v>
      </c>
      <c r="J454" s="98"/>
      <c r="K454" s="83" t="s">
        <v>104</v>
      </c>
      <c r="L454" s="84">
        <v>46001</v>
      </c>
      <c r="M454" s="85">
        <v>46053</v>
      </c>
      <c r="N454" s="86" cm="1">
        <f t="array" ref="N454">WORKDAY(M454,10)</f>
        <v>46066</v>
      </c>
      <c r="O454" s="87">
        <v>0</v>
      </c>
      <c r="P454" s="88">
        <v>0</v>
      </c>
      <c r="Q454" s="89">
        <v>46196</v>
      </c>
      <c r="R454" s="96">
        <v>46227</v>
      </c>
      <c r="S454" s="86" cm="1">
        <f t="array" ref="S454">WORKDAY(R454,10)</f>
        <v>46241</v>
      </c>
      <c r="T454" s="87">
        <v>0</v>
      </c>
      <c r="U454" s="91" t="s">
        <v>105</v>
      </c>
      <c r="V454" s="92">
        <v>0</v>
      </c>
      <c r="W454" s="93" cm="1">
        <f t="array" ref="W454">WORKDAY(X454,-20)</f>
        <v>46317</v>
      </c>
      <c r="X454" s="80" t="s">
        <v>952</v>
      </c>
      <c r="Y454" s="88">
        <v>0</v>
      </c>
      <c r="Z454" s="93">
        <v>46373</v>
      </c>
      <c r="AA454" s="90">
        <v>46415</v>
      </c>
      <c r="AB454" s="88">
        <v>0</v>
      </c>
      <c r="AC454" s="79" t="s">
        <v>49</v>
      </c>
      <c r="AD454" s="79" t="s">
        <v>49</v>
      </c>
      <c r="AE454" s="90"/>
      <c r="AF454" s="88">
        <v>0</v>
      </c>
      <c r="AG454" s="93" cm="1">
        <f t="array" ref="AG454">WORKDAY(AA454,2)</f>
        <v>46419</v>
      </c>
      <c r="AH454" s="90" cm="1">
        <f t="array" ref="AH454">WORKDAY(AG454,1)</f>
        <v>46420</v>
      </c>
      <c r="AI454" s="86" cm="1">
        <f t="array" ref="AI454">WORKDAY(AH454,1)</f>
        <v>46421</v>
      </c>
      <c r="AJ454" s="144"/>
      <c r="AK454" s="56"/>
    </row>
    <row r="455" spans="1:37" ht="25.5" customHeight="1">
      <c r="A455" s="140" cm="1">
        <f t="array" ref="A455">A454+1</f>
        <v>440</v>
      </c>
      <c r="B455" s="79" t="s">
        <v>955</v>
      </c>
      <c r="C455" s="78">
        <v>4</v>
      </c>
      <c r="D455" s="79" t="s">
        <v>950</v>
      </c>
      <c r="E455" s="79" t="s">
        <v>956</v>
      </c>
      <c r="F455" s="79"/>
      <c r="G455" s="80" t="s">
        <v>109</v>
      </c>
      <c r="H455" s="81">
        <v>45146</v>
      </c>
      <c r="I455" s="82">
        <v>307</v>
      </c>
      <c r="J455" s="98"/>
      <c r="K455" s="83" t="s">
        <v>104</v>
      </c>
      <c r="L455" s="101">
        <v>46001</v>
      </c>
      <c r="M455" s="85">
        <v>46053</v>
      </c>
      <c r="N455" s="86" cm="1">
        <f t="array" ref="N455">WORKDAY(M455,10)</f>
        <v>46066</v>
      </c>
      <c r="O455" s="87">
        <v>0</v>
      </c>
      <c r="P455" s="88">
        <v>0</v>
      </c>
      <c r="Q455" s="89">
        <v>46196</v>
      </c>
      <c r="R455" s="96">
        <v>46227</v>
      </c>
      <c r="S455" s="86" cm="1">
        <f t="array" ref="S455">WORKDAY(R455,10)</f>
        <v>46241</v>
      </c>
      <c r="T455" s="87">
        <v>0</v>
      </c>
      <c r="U455" s="91" t="s">
        <v>105</v>
      </c>
      <c r="V455" s="92">
        <v>0</v>
      </c>
      <c r="W455" s="93" cm="1">
        <f t="array" ref="W455">WORKDAY(X455,-20)</f>
        <v>46317</v>
      </c>
      <c r="X455" s="80" t="s">
        <v>952</v>
      </c>
      <c r="Y455" s="88">
        <v>0</v>
      </c>
      <c r="Z455" s="93">
        <v>46373</v>
      </c>
      <c r="AA455" s="90">
        <v>46415</v>
      </c>
      <c r="AB455" s="88">
        <v>0</v>
      </c>
      <c r="AC455" s="79" t="s">
        <v>49</v>
      </c>
      <c r="AD455" s="79" t="s">
        <v>49</v>
      </c>
      <c r="AE455" s="90"/>
      <c r="AF455" s="88">
        <v>0</v>
      </c>
      <c r="AG455" s="93" cm="1">
        <f t="array" ref="AG455">WORKDAY(AA455,2)</f>
        <v>46419</v>
      </c>
      <c r="AH455" s="90" cm="1">
        <f t="array" ref="AH455">WORKDAY(AG455,1)</f>
        <v>46420</v>
      </c>
      <c r="AI455" s="86" cm="1">
        <f t="array" ref="AI455">WORKDAY(AH455,1)</f>
        <v>46421</v>
      </c>
      <c r="AJ455" s="144"/>
      <c r="AK455" s="56"/>
    </row>
    <row r="456" spans="1:37" ht="25.5" customHeight="1">
      <c r="A456" s="140" cm="1">
        <f t="array" ref="A456">A455+1</f>
        <v>441</v>
      </c>
      <c r="B456" s="79" t="s">
        <v>957</v>
      </c>
      <c r="C456" s="78">
        <v>4</v>
      </c>
      <c r="D456" s="79" t="s">
        <v>950</v>
      </c>
      <c r="E456" s="79" t="s">
        <v>958</v>
      </c>
      <c r="F456" s="79"/>
      <c r="G456" s="80" t="s">
        <v>109</v>
      </c>
      <c r="H456" s="81">
        <v>45146</v>
      </c>
      <c r="I456" s="82">
        <v>308</v>
      </c>
      <c r="J456" s="98"/>
      <c r="K456" s="83" t="s">
        <v>104</v>
      </c>
      <c r="L456" s="148">
        <v>46001</v>
      </c>
      <c r="M456" s="102">
        <v>46053</v>
      </c>
      <c r="N456" s="86" cm="1">
        <f t="array" ref="N456">WORKDAY(M456,10)</f>
        <v>46066</v>
      </c>
      <c r="O456" s="87">
        <v>0</v>
      </c>
      <c r="P456" s="88">
        <v>0</v>
      </c>
      <c r="Q456" s="89">
        <v>46196</v>
      </c>
      <c r="R456" s="96">
        <v>46227</v>
      </c>
      <c r="S456" s="86" cm="1">
        <f t="array" ref="S456">WORKDAY(R456,10)</f>
        <v>46241</v>
      </c>
      <c r="T456" s="87">
        <v>0</v>
      </c>
      <c r="U456" s="91" t="s">
        <v>105</v>
      </c>
      <c r="V456" s="92">
        <v>0</v>
      </c>
      <c r="W456" s="93" cm="1">
        <f t="array" ref="W456">WORKDAY(X456,-20)</f>
        <v>46321</v>
      </c>
      <c r="X456" s="80" t="s">
        <v>959</v>
      </c>
      <c r="Y456" s="88">
        <v>0</v>
      </c>
      <c r="Z456" s="93">
        <v>46373</v>
      </c>
      <c r="AA456" s="90">
        <v>46415</v>
      </c>
      <c r="AB456" s="88">
        <v>0</v>
      </c>
      <c r="AC456" s="79" t="s">
        <v>49</v>
      </c>
      <c r="AD456" s="79" t="s">
        <v>49</v>
      </c>
      <c r="AE456" s="90"/>
      <c r="AF456" s="88">
        <v>0</v>
      </c>
      <c r="AG456" s="93" cm="1">
        <f t="array" ref="AG456">WORKDAY(AA456,2)</f>
        <v>46419</v>
      </c>
      <c r="AH456" s="90" cm="1">
        <f t="array" ref="AH456">WORKDAY(AG456,1)</f>
        <v>46420</v>
      </c>
      <c r="AI456" s="86" cm="1">
        <f t="array" ref="AI456">WORKDAY(AH456,1)</f>
        <v>46421</v>
      </c>
      <c r="AJ456" s="144"/>
      <c r="AK456" s="56"/>
    </row>
    <row r="457" spans="1:37" ht="25.5" customHeight="1">
      <c r="A457" s="140" cm="1">
        <f t="array" ref="A457">A456+1</f>
        <v>442</v>
      </c>
      <c r="B457" s="79" t="s">
        <v>960</v>
      </c>
      <c r="C457" s="78">
        <v>4</v>
      </c>
      <c r="D457" s="79" t="s">
        <v>950</v>
      </c>
      <c r="E457" s="79" t="s">
        <v>961</v>
      </c>
      <c r="F457" s="79"/>
      <c r="G457" s="80" t="s">
        <v>109</v>
      </c>
      <c r="H457" s="81">
        <v>45146</v>
      </c>
      <c r="I457" s="82">
        <v>309</v>
      </c>
      <c r="J457" s="98"/>
      <c r="K457" s="83" t="s">
        <v>104</v>
      </c>
      <c r="L457" s="103">
        <v>46001</v>
      </c>
      <c r="M457" s="85">
        <v>46053</v>
      </c>
      <c r="N457" s="86" cm="1">
        <f t="array" ref="N457">WORKDAY(M457,10)</f>
        <v>46066</v>
      </c>
      <c r="O457" s="87">
        <v>0</v>
      </c>
      <c r="P457" s="88">
        <v>0</v>
      </c>
      <c r="Q457" s="89">
        <v>46196</v>
      </c>
      <c r="R457" s="96">
        <v>46227</v>
      </c>
      <c r="S457" s="86" cm="1">
        <f t="array" ref="S457">WORKDAY(R457,10)</f>
        <v>46241</v>
      </c>
      <c r="T457" s="87">
        <v>0</v>
      </c>
      <c r="U457" s="91" t="s">
        <v>105</v>
      </c>
      <c r="V457" s="92">
        <v>0</v>
      </c>
      <c r="W457" s="93" cm="1">
        <f t="array" ref="W457">WORKDAY(X457,-20)</f>
        <v>46321</v>
      </c>
      <c r="X457" s="80" t="s">
        <v>959</v>
      </c>
      <c r="Y457" s="88">
        <v>0</v>
      </c>
      <c r="Z457" s="93">
        <v>46377</v>
      </c>
      <c r="AA457" s="90">
        <v>46419</v>
      </c>
      <c r="AB457" s="88">
        <v>0</v>
      </c>
      <c r="AC457" s="79" t="s">
        <v>49</v>
      </c>
      <c r="AD457" s="79" t="s">
        <v>49</v>
      </c>
      <c r="AE457" s="90"/>
      <c r="AF457" s="88">
        <v>0</v>
      </c>
      <c r="AG457" s="93" cm="1">
        <f t="array" ref="AG457">WORKDAY(AA457,2)</f>
        <v>46421</v>
      </c>
      <c r="AH457" s="90" cm="1">
        <f t="array" ref="AH457">WORKDAY(AG457,1)</f>
        <v>46422</v>
      </c>
      <c r="AI457" s="86" cm="1">
        <f t="array" ref="AI457">WORKDAY(AH457,1)</f>
        <v>46423</v>
      </c>
      <c r="AJ457" s="144"/>
      <c r="AK457" s="56"/>
    </row>
    <row r="458" spans="1:37" ht="25.5" customHeight="1">
      <c r="A458" s="140" cm="1">
        <f t="array" ref="A458">A457+1</f>
        <v>443</v>
      </c>
      <c r="B458" s="79" t="s">
        <v>962</v>
      </c>
      <c r="C458" s="78">
        <v>4</v>
      </c>
      <c r="D458" s="79" t="s">
        <v>950</v>
      </c>
      <c r="E458" s="79" t="s">
        <v>963</v>
      </c>
      <c r="F458" s="79"/>
      <c r="G458" s="80" t="s">
        <v>109</v>
      </c>
      <c r="H458" s="81">
        <v>45146</v>
      </c>
      <c r="I458" s="82">
        <v>310</v>
      </c>
      <c r="J458" s="98"/>
      <c r="K458" s="83" t="s">
        <v>104</v>
      </c>
      <c r="L458" s="84">
        <v>46001</v>
      </c>
      <c r="M458" s="85">
        <v>46053</v>
      </c>
      <c r="N458" s="86" cm="1">
        <f t="array" ref="N458">WORKDAY(M458,10)</f>
        <v>46066</v>
      </c>
      <c r="O458" s="87">
        <v>0</v>
      </c>
      <c r="P458" s="88">
        <v>0</v>
      </c>
      <c r="Q458" s="89">
        <v>46196</v>
      </c>
      <c r="R458" s="96">
        <v>46227</v>
      </c>
      <c r="S458" s="86" cm="1">
        <f t="array" ref="S458">WORKDAY(R458,10)</f>
        <v>46241</v>
      </c>
      <c r="T458" s="87">
        <v>0</v>
      </c>
      <c r="U458" s="91" t="s">
        <v>105</v>
      </c>
      <c r="V458" s="92">
        <v>0</v>
      </c>
      <c r="W458" s="93" cm="1">
        <f t="array" ref="W458">WORKDAY(X458,-20)</f>
        <v>46321</v>
      </c>
      <c r="X458" s="80" t="s">
        <v>959</v>
      </c>
      <c r="Y458" s="88">
        <v>0</v>
      </c>
      <c r="Z458" s="93">
        <v>46377</v>
      </c>
      <c r="AA458" s="90">
        <v>46419</v>
      </c>
      <c r="AB458" s="88">
        <v>0</v>
      </c>
      <c r="AC458" s="79" t="s">
        <v>49</v>
      </c>
      <c r="AD458" s="79" t="s">
        <v>49</v>
      </c>
      <c r="AE458" s="90"/>
      <c r="AF458" s="88">
        <v>0</v>
      </c>
      <c r="AG458" s="93" cm="1">
        <f t="array" ref="AG458">WORKDAY(AA458,2)</f>
        <v>46421</v>
      </c>
      <c r="AH458" s="90" cm="1">
        <f t="array" ref="AH458">WORKDAY(AG458,1)</f>
        <v>46422</v>
      </c>
      <c r="AI458" s="86" cm="1">
        <f t="array" ref="AI458">WORKDAY(AH458,1)</f>
        <v>46423</v>
      </c>
      <c r="AJ458" s="144"/>
      <c r="AK458" s="56"/>
    </row>
    <row r="459" spans="1:37" ht="25.5" customHeight="1">
      <c r="A459" s="140" cm="1">
        <f t="array" ref="A459">A458+1</f>
        <v>444</v>
      </c>
      <c r="B459" s="79" t="s">
        <v>964</v>
      </c>
      <c r="C459" s="78">
        <v>4</v>
      </c>
      <c r="D459" s="79" t="s">
        <v>906</v>
      </c>
      <c r="E459" s="79" t="s">
        <v>965</v>
      </c>
      <c r="F459" s="79"/>
      <c r="G459" s="80" t="s">
        <v>874</v>
      </c>
      <c r="H459" s="81">
        <v>67649</v>
      </c>
      <c r="I459" s="82">
        <v>311</v>
      </c>
      <c r="J459" s="98"/>
      <c r="K459" s="83" t="s">
        <v>126</v>
      </c>
      <c r="L459" s="84">
        <v>46001</v>
      </c>
      <c r="M459" s="85">
        <v>46094</v>
      </c>
      <c r="N459" s="86" cm="1">
        <f t="array" ref="N459">WORKDAY(M459,10)</f>
        <v>46108</v>
      </c>
      <c r="O459" s="87">
        <v>0</v>
      </c>
      <c r="P459" s="88">
        <v>0</v>
      </c>
      <c r="Q459" s="89">
        <v>46196</v>
      </c>
      <c r="R459" s="96">
        <v>46227</v>
      </c>
      <c r="S459" s="86" cm="1">
        <f t="array" ref="S459">WORKDAY(R459,10)</f>
        <v>46241</v>
      </c>
      <c r="T459" s="87">
        <v>0</v>
      </c>
      <c r="U459" s="91" t="s">
        <v>105</v>
      </c>
      <c r="V459" s="92">
        <v>0</v>
      </c>
      <c r="W459" s="93" cm="1">
        <f t="array" ref="W459">WORKDAY(X459,-20)</f>
        <v>46322</v>
      </c>
      <c r="X459" s="80" t="s">
        <v>966</v>
      </c>
      <c r="Y459" s="88">
        <v>0</v>
      </c>
      <c r="Z459" s="93">
        <v>46378</v>
      </c>
      <c r="AA459" s="90">
        <v>46420</v>
      </c>
      <c r="AB459" s="88">
        <v>0</v>
      </c>
      <c r="AC459" s="79" t="s">
        <v>49</v>
      </c>
      <c r="AD459" s="79" t="s">
        <v>49</v>
      </c>
      <c r="AE459" s="90"/>
      <c r="AF459" s="88">
        <v>0</v>
      </c>
      <c r="AG459" s="93" cm="1">
        <f t="array" ref="AG459">WORKDAY(AA459,2)</f>
        <v>46422</v>
      </c>
      <c r="AH459" s="90" cm="1">
        <f t="array" ref="AH459">WORKDAY(AG459,1)</f>
        <v>46423</v>
      </c>
      <c r="AI459" s="86" cm="1">
        <f t="array" ref="AI459">WORKDAY(AH459,1)</f>
        <v>46426</v>
      </c>
      <c r="AJ459" s="144"/>
      <c r="AK459" s="56"/>
    </row>
    <row r="460" spans="1:37" ht="25.5" customHeight="1">
      <c r="A460" s="140" cm="1">
        <f t="array" ref="A460">A459+1</f>
        <v>445</v>
      </c>
      <c r="B460" s="79" t="s">
        <v>967</v>
      </c>
      <c r="C460" s="78">
        <v>4</v>
      </c>
      <c r="D460" s="79" t="s">
        <v>101</v>
      </c>
      <c r="E460" s="79" t="s">
        <v>968</v>
      </c>
      <c r="F460" s="79"/>
      <c r="G460" s="80" t="s">
        <v>103</v>
      </c>
      <c r="H460" s="81">
        <v>52091</v>
      </c>
      <c r="I460" s="82">
        <v>312</v>
      </c>
      <c r="J460" s="98"/>
      <c r="K460" s="83" t="s">
        <v>104</v>
      </c>
      <c r="L460" s="84">
        <v>46001</v>
      </c>
      <c r="M460" s="85">
        <v>46094</v>
      </c>
      <c r="N460" s="86" cm="1">
        <f t="array" ref="N460">WORKDAY(M460,10)</f>
        <v>46108</v>
      </c>
      <c r="O460" s="87">
        <v>0</v>
      </c>
      <c r="P460" s="88">
        <v>0</v>
      </c>
      <c r="Q460" s="89">
        <v>46196</v>
      </c>
      <c r="R460" s="96">
        <v>46227</v>
      </c>
      <c r="S460" s="86" cm="1">
        <f t="array" ref="S460">WORKDAY(R460,10)</f>
        <v>46241</v>
      </c>
      <c r="T460" s="87">
        <v>0</v>
      </c>
      <c r="U460" s="91" t="s">
        <v>105</v>
      </c>
      <c r="V460" s="92">
        <v>0</v>
      </c>
      <c r="W460" s="93" cm="1">
        <f t="array" ref="W460">WORKDAY(X460,-20)</f>
        <v>46322</v>
      </c>
      <c r="X460" s="80" t="s">
        <v>966</v>
      </c>
      <c r="Y460" s="88">
        <v>0</v>
      </c>
      <c r="Z460" s="93">
        <v>46378</v>
      </c>
      <c r="AA460" s="90">
        <v>46420</v>
      </c>
      <c r="AB460" s="88">
        <v>0</v>
      </c>
      <c r="AC460" s="79" t="s">
        <v>49</v>
      </c>
      <c r="AD460" s="79" t="s">
        <v>49</v>
      </c>
      <c r="AE460" s="90"/>
      <c r="AF460" s="88">
        <v>0</v>
      </c>
      <c r="AG460" s="93" cm="1">
        <f t="array" ref="AG460">WORKDAY(AA460,2)</f>
        <v>46422</v>
      </c>
      <c r="AH460" s="90" cm="1">
        <f t="array" ref="AH460">WORKDAY(AG460,1)</f>
        <v>46423</v>
      </c>
      <c r="AI460" s="86" cm="1">
        <f t="array" ref="AI460">WORKDAY(AH460,1)</f>
        <v>46426</v>
      </c>
      <c r="AJ460" s="144"/>
      <c r="AK460" s="56"/>
    </row>
    <row r="461" spans="1:37" ht="25.5" customHeight="1">
      <c r="A461" s="140" cm="1">
        <f t="array" ref="A461">A460+1</f>
        <v>446</v>
      </c>
      <c r="B461" s="79" t="s">
        <v>969</v>
      </c>
      <c r="C461" s="78">
        <v>4</v>
      </c>
      <c r="D461" s="79" t="s">
        <v>101</v>
      </c>
      <c r="E461" s="79" t="s">
        <v>970</v>
      </c>
      <c r="F461" s="79"/>
      <c r="G461" s="80" t="s">
        <v>103</v>
      </c>
      <c r="H461" s="81">
        <v>52091</v>
      </c>
      <c r="I461" s="82">
        <v>313</v>
      </c>
      <c r="J461" s="98"/>
      <c r="K461" s="106" t="s">
        <v>104</v>
      </c>
      <c r="L461" s="84">
        <v>46059</v>
      </c>
      <c r="M461" s="85">
        <v>46051</v>
      </c>
      <c r="N461" s="86" cm="1">
        <f t="array" ref="N461">WORKDAY(M461,10)</f>
        <v>46065</v>
      </c>
      <c r="O461" s="87">
        <v>0</v>
      </c>
      <c r="P461" s="88">
        <v>0</v>
      </c>
      <c r="Q461" s="89">
        <v>46196</v>
      </c>
      <c r="R461" s="96">
        <v>46227</v>
      </c>
      <c r="S461" s="86" cm="1">
        <f t="array" ref="S461">WORKDAY(R461,10)</f>
        <v>46241</v>
      </c>
      <c r="T461" s="87">
        <v>0</v>
      </c>
      <c r="U461" s="91" t="s">
        <v>105</v>
      </c>
      <c r="V461" s="92">
        <v>0</v>
      </c>
      <c r="W461" s="93" cm="1">
        <f t="array" ref="W461">WORKDAY(X461,-20)</f>
        <v>46322</v>
      </c>
      <c r="X461" s="80" t="s">
        <v>966</v>
      </c>
      <c r="Y461" s="88">
        <v>0</v>
      </c>
      <c r="Z461" s="93">
        <v>46379</v>
      </c>
      <c r="AA461" s="90">
        <v>46421</v>
      </c>
      <c r="AB461" s="88">
        <v>0</v>
      </c>
      <c r="AC461" s="79" t="s">
        <v>49</v>
      </c>
      <c r="AD461" s="79" t="s">
        <v>49</v>
      </c>
      <c r="AE461" s="90"/>
      <c r="AF461" s="88">
        <v>0</v>
      </c>
      <c r="AG461" s="93" cm="1">
        <f t="array" ref="AG461">WORKDAY(AA461,2)</f>
        <v>46423</v>
      </c>
      <c r="AH461" s="90" cm="1">
        <f t="array" ref="AH461">WORKDAY(AG461,1)</f>
        <v>46426</v>
      </c>
      <c r="AI461" s="86" cm="1">
        <f t="array" ref="AI461">WORKDAY(AH461,1)</f>
        <v>46427</v>
      </c>
      <c r="AJ461" s="144"/>
      <c r="AK461" s="56"/>
    </row>
    <row r="462" spans="1:37" ht="25.5" customHeight="1">
      <c r="A462" s="140" cm="1">
        <f t="array" ref="A462">A461+1</f>
        <v>447</v>
      </c>
      <c r="B462" s="79" t="s">
        <v>971</v>
      </c>
      <c r="C462" s="78">
        <v>4</v>
      </c>
      <c r="D462" s="79" t="s">
        <v>101</v>
      </c>
      <c r="E462" s="79" t="s">
        <v>972</v>
      </c>
      <c r="F462" s="79"/>
      <c r="G462" s="80" t="s">
        <v>103</v>
      </c>
      <c r="H462" s="81">
        <v>52091</v>
      </c>
      <c r="I462" s="82">
        <v>314</v>
      </c>
      <c r="J462" s="98"/>
      <c r="K462" s="106" t="s">
        <v>104</v>
      </c>
      <c r="L462" s="84">
        <v>46059</v>
      </c>
      <c r="M462" s="85">
        <v>46051</v>
      </c>
      <c r="N462" s="86" cm="1">
        <f t="array" ref="N462">WORKDAY(M462,10)</f>
        <v>46065</v>
      </c>
      <c r="O462" s="87">
        <v>0</v>
      </c>
      <c r="P462" s="88">
        <v>0</v>
      </c>
      <c r="Q462" s="89">
        <v>46196</v>
      </c>
      <c r="R462" s="96">
        <v>46227</v>
      </c>
      <c r="S462" s="86" cm="1">
        <f t="array" ref="S462">WORKDAY(R462,10)</f>
        <v>46241</v>
      </c>
      <c r="T462" s="87">
        <v>0</v>
      </c>
      <c r="U462" s="91" t="s">
        <v>105</v>
      </c>
      <c r="V462" s="92">
        <v>0</v>
      </c>
      <c r="W462" s="93" cm="1">
        <f t="array" ref="W462">WORKDAY(X462,-20)</f>
        <v>46323</v>
      </c>
      <c r="X462" s="80" t="s">
        <v>973</v>
      </c>
      <c r="Y462" s="88">
        <v>0</v>
      </c>
      <c r="Z462" s="93">
        <v>46379</v>
      </c>
      <c r="AA462" s="90">
        <v>46421</v>
      </c>
      <c r="AB462" s="88">
        <v>0</v>
      </c>
      <c r="AC462" s="79" t="s">
        <v>49</v>
      </c>
      <c r="AD462" s="79" t="s">
        <v>49</v>
      </c>
      <c r="AE462" s="90"/>
      <c r="AF462" s="88">
        <v>0</v>
      </c>
      <c r="AG462" s="93" cm="1">
        <f t="array" ref="AG462">WORKDAY(AA462,2)</f>
        <v>46423</v>
      </c>
      <c r="AH462" s="90" cm="1">
        <f t="array" ref="AH462">WORKDAY(AG462,1)</f>
        <v>46426</v>
      </c>
      <c r="AI462" s="86" cm="1">
        <f t="array" ref="AI462">WORKDAY(AH462,1)</f>
        <v>46427</v>
      </c>
      <c r="AJ462" s="144"/>
      <c r="AK462" s="56"/>
    </row>
    <row r="463" spans="1:37" ht="25.5" customHeight="1">
      <c r="A463" s="140" cm="1">
        <f t="array" ref="A463">A462+1</f>
        <v>448</v>
      </c>
      <c r="B463" s="79" t="s">
        <v>974</v>
      </c>
      <c r="C463" s="78">
        <v>4</v>
      </c>
      <c r="D463" s="79" t="s">
        <v>101</v>
      </c>
      <c r="E463" s="79" t="s">
        <v>975</v>
      </c>
      <c r="F463" s="79"/>
      <c r="G463" s="80" t="s">
        <v>103</v>
      </c>
      <c r="H463" s="81">
        <v>52091</v>
      </c>
      <c r="I463" s="82">
        <v>315</v>
      </c>
      <c r="J463" s="98"/>
      <c r="K463" s="106" t="s">
        <v>104</v>
      </c>
      <c r="L463" s="84">
        <v>46059</v>
      </c>
      <c r="M463" s="85">
        <v>46051</v>
      </c>
      <c r="N463" s="86" cm="1">
        <f t="array" ref="N463">WORKDAY(M463,10)</f>
        <v>46065</v>
      </c>
      <c r="O463" s="87">
        <v>0</v>
      </c>
      <c r="P463" s="88">
        <v>0</v>
      </c>
      <c r="Q463" s="89">
        <v>46196</v>
      </c>
      <c r="R463" s="96">
        <v>46227</v>
      </c>
      <c r="S463" s="86" cm="1">
        <f t="array" ref="S463">WORKDAY(R463,10)</f>
        <v>46241</v>
      </c>
      <c r="T463" s="87">
        <v>0</v>
      </c>
      <c r="U463" s="91" t="s">
        <v>105</v>
      </c>
      <c r="V463" s="92">
        <v>0</v>
      </c>
      <c r="W463" s="93" cm="1">
        <f t="array" ref="W463">WORKDAY(X463,-20)</f>
        <v>46323</v>
      </c>
      <c r="X463" s="80" t="s">
        <v>973</v>
      </c>
      <c r="Y463" s="88">
        <v>0</v>
      </c>
      <c r="Z463" s="93">
        <v>46380</v>
      </c>
      <c r="AA463" s="90">
        <v>46422</v>
      </c>
      <c r="AB463" s="88">
        <v>0</v>
      </c>
      <c r="AC463" s="79" t="s">
        <v>49</v>
      </c>
      <c r="AD463" s="79" t="s">
        <v>49</v>
      </c>
      <c r="AE463" s="90"/>
      <c r="AF463" s="88">
        <v>0</v>
      </c>
      <c r="AG463" s="93" cm="1">
        <f t="array" ref="AG463">WORKDAY(AA463,2)</f>
        <v>46426</v>
      </c>
      <c r="AH463" s="90" cm="1">
        <f t="array" ref="AH463">WORKDAY(AG463,1)</f>
        <v>46427</v>
      </c>
      <c r="AI463" s="86" cm="1">
        <f t="array" ref="AI463">WORKDAY(AH463,1)</f>
        <v>46428</v>
      </c>
      <c r="AJ463" s="144"/>
      <c r="AK463" s="56"/>
    </row>
    <row r="464" spans="1:37" ht="25.5" customHeight="1">
      <c r="A464" s="140" cm="1">
        <f t="array" ref="A464">A463+1</f>
        <v>449</v>
      </c>
      <c r="B464" s="79" t="s">
        <v>976</v>
      </c>
      <c r="C464" s="78">
        <v>4</v>
      </c>
      <c r="D464" s="79" t="s">
        <v>101</v>
      </c>
      <c r="E464" s="79" t="s">
        <v>977</v>
      </c>
      <c r="F464" s="79"/>
      <c r="G464" s="80" t="s">
        <v>103</v>
      </c>
      <c r="H464" s="81">
        <v>52091</v>
      </c>
      <c r="I464" s="82">
        <v>316</v>
      </c>
      <c r="J464" s="98"/>
      <c r="K464" s="106" t="s">
        <v>104</v>
      </c>
      <c r="L464" s="101">
        <v>46059</v>
      </c>
      <c r="M464" s="85">
        <v>46051</v>
      </c>
      <c r="N464" s="86" cm="1">
        <f t="array" ref="N464">WORKDAY(M464,10)</f>
        <v>46065</v>
      </c>
      <c r="O464" s="87">
        <v>0</v>
      </c>
      <c r="P464" s="88">
        <v>0</v>
      </c>
      <c r="Q464" s="89">
        <v>46196</v>
      </c>
      <c r="R464" s="96">
        <v>46227</v>
      </c>
      <c r="S464" s="86" cm="1">
        <f t="array" ref="S464">WORKDAY(R464,10)</f>
        <v>46241</v>
      </c>
      <c r="T464" s="87">
        <v>0</v>
      </c>
      <c r="U464" s="91" t="s">
        <v>105</v>
      </c>
      <c r="V464" s="92">
        <v>0</v>
      </c>
      <c r="W464" s="93" cm="1">
        <f t="array" ref="W464">WORKDAY(X464,-20)</f>
        <v>46323</v>
      </c>
      <c r="X464" s="80" t="s">
        <v>973</v>
      </c>
      <c r="Y464" s="88">
        <v>0</v>
      </c>
      <c r="Z464" s="93">
        <v>46380</v>
      </c>
      <c r="AA464" s="90">
        <v>46422</v>
      </c>
      <c r="AB464" s="88">
        <v>0</v>
      </c>
      <c r="AC464" s="79" t="s">
        <v>49</v>
      </c>
      <c r="AD464" s="79" t="s">
        <v>49</v>
      </c>
      <c r="AE464" s="90"/>
      <c r="AF464" s="88">
        <v>0</v>
      </c>
      <c r="AG464" s="93" cm="1">
        <f t="array" ref="AG464">WORKDAY(AA464,2)</f>
        <v>46426</v>
      </c>
      <c r="AH464" s="90" cm="1">
        <f t="array" ref="AH464">WORKDAY(AG464,1)</f>
        <v>46427</v>
      </c>
      <c r="AI464" s="86" cm="1">
        <f t="array" ref="AI464">WORKDAY(AH464,1)</f>
        <v>46428</v>
      </c>
      <c r="AJ464" s="144"/>
      <c r="AK464" s="56"/>
    </row>
    <row r="465" spans="1:37" ht="25.5" customHeight="1">
      <c r="A465" s="140" cm="1">
        <f t="array" ref="A465">A464+1</f>
        <v>450</v>
      </c>
      <c r="B465" s="79" t="s">
        <v>978</v>
      </c>
      <c r="C465" s="78">
        <v>4</v>
      </c>
      <c r="D465" s="79" t="s">
        <v>101</v>
      </c>
      <c r="E465" s="79" t="s">
        <v>979</v>
      </c>
      <c r="F465" s="79"/>
      <c r="G465" s="80" t="s">
        <v>103</v>
      </c>
      <c r="H465" s="81">
        <v>52091</v>
      </c>
      <c r="I465" s="82">
        <v>317</v>
      </c>
      <c r="J465" s="98"/>
      <c r="K465" s="154" t="s">
        <v>104</v>
      </c>
      <c r="L465" s="89">
        <v>46059</v>
      </c>
      <c r="M465" s="102">
        <v>46051</v>
      </c>
      <c r="N465" s="86" cm="1">
        <f t="array" ref="N465">WORKDAY(M465,10)</f>
        <v>46065</v>
      </c>
      <c r="O465" s="87">
        <v>0</v>
      </c>
      <c r="P465" s="88">
        <v>0</v>
      </c>
      <c r="Q465" s="89">
        <v>46196</v>
      </c>
      <c r="R465" s="96">
        <v>46227</v>
      </c>
      <c r="S465" s="86" cm="1">
        <f t="array" ref="S465">WORKDAY(R465,10)</f>
        <v>46241</v>
      </c>
      <c r="T465" s="87">
        <v>0</v>
      </c>
      <c r="U465" s="91" t="s">
        <v>105</v>
      </c>
      <c r="V465" s="92">
        <v>0</v>
      </c>
      <c r="W465" s="93" cm="1">
        <f t="array" ref="W465">WORKDAY(X465,-20)</f>
        <v>46324</v>
      </c>
      <c r="X465" s="80" t="s">
        <v>980</v>
      </c>
      <c r="Y465" s="88">
        <v>0</v>
      </c>
      <c r="Z465" s="93">
        <v>46384</v>
      </c>
      <c r="AA465" s="90">
        <v>46426</v>
      </c>
      <c r="AB465" s="88">
        <v>0</v>
      </c>
      <c r="AC465" s="79" t="s">
        <v>49</v>
      </c>
      <c r="AD465" s="79" t="s">
        <v>49</v>
      </c>
      <c r="AE465" s="90"/>
      <c r="AF465" s="88">
        <v>0</v>
      </c>
      <c r="AG465" s="93" cm="1">
        <f t="array" ref="AG465">WORKDAY(AA465,2)</f>
        <v>46428</v>
      </c>
      <c r="AH465" s="90" cm="1">
        <f t="array" ref="AH465">WORKDAY(AG465,1)</f>
        <v>46429</v>
      </c>
      <c r="AI465" s="86" cm="1">
        <f t="array" ref="AI465">WORKDAY(AH465,1)</f>
        <v>46430</v>
      </c>
      <c r="AJ465" s="144"/>
      <c r="AK465" s="56"/>
    </row>
    <row r="466" spans="1:37" ht="25.5" customHeight="1">
      <c r="A466" s="140" cm="1">
        <f t="array" ref="A466">A465+1</f>
        <v>451</v>
      </c>
      <c r="B466" s="79" t="s">
        <v>981</v>
      </c>
      <c r="C466" s="78">
        <v>4</v>
      </c>
      <c r="D466" s="79" t="s">
        <v>982</v>
      </c>
      <c r="E466" s="79" t="s">
        <v>983</v>
      </c>
      <c r="F466" s="79"/>
      <c r="G466" s="80" t="s">
        <v>984</v>
      </c>
      <c r="H466" s="81">
        <v>63173</v>
      </c>
      <c r="I466" s="82">
        <v>318</v>
      </c>
      <c r="J466" s="98"/>
      <c r="K466" s="100">
        <v>0.98</v>
      </c>
      <c r="L466" s="103">
        <v>46056</v>
      </c>
      <c r="M466" s="85">
        <v>46219</v>
      </c>
      <c r="N466" s="86" cm="1">
        <f t="array" ref="N466">WORKDAY(M466,10)</f>
        <v>46233</v>
      </c>
      <c r="O466" s="87">
        <v>0</v>
      </c>
      <c r="P466" s="88">
        <v>0</v>
      </c>
      <c r="Q466" s="89">
        <v>46196</v>
      </c>
      <c r="R466" s="96">
        <v>46227</v>
      </c>
      <c r="S466" s="86" cm="1">
        <f t="array" ref="S466">WORKDAY(R466,10)</f>
        <v>46241</v>
      </c>
      <c r="T466" s="87">
        <v>0</v>
      </c>
      <c r="U466" s="91" t="s">
        <v>105</v>
      </c>
      <c r="V466" s="92">
        <v>0</v>
      </c>
      <c r="W466" s="93" cm="1">
        <f t="array" ref="W466">WORKDAY(X466,-20)</f>
        <v>46324</v>
      </c>
      <c r="X466" s="80" t="s">
        <v>980</v>
      </c>
      <c r="Y466" s="88">
        <v>0</v>
      </c>
      <c r="Z466" s="93">
        <v>46384</v>
      </c>
      <c r="AA466" s="90">
        <v>46426</v>
      </c>
      <c r="AB466" s="88">
        <v>0</v>
      </c>
      <c r="AC466" s="79" t="s">
        <v>49</v>
      </c>
      <c r="AD466" s="79" t="s">
        <v>49</v>
      </c>
      <c r="AE466" s="90"/>
      <c r="AF466" s="88">
        <v>0</v>
      </c>
      <c r="AG466" s="93" cm="1">
        <f t="array" ref="AG466">WORKDAY(AA466,2)</f>
        <v>46428</v>
      </c>
      <c r="AH466" s="90" cm="1">
        <f t="array" ref="AH466">WORKDAY(AG466,1)</f>
        <v>46429</v>
      </c>
      <c r="AI466" s="86" cm="1">
        <f t="array" ref="AI466">WORKDAY(AH466,1)</f>
        <v>46430</v>
      </c>
      <c r="AJ466" s="144"/>
      <c r="AK466" s="56"/>
    </row>
    <row r="467" spans="1:37" ht="25.5" customHeight="1">
      <c r="A467" s="140" cm="1">
        <f t="array" ref="A467">A466+1</f>
        <v>452</v>
      </c>
      <c r="B467" s="79" t="s">
        <v>985</v>
      </c>
      <c r="C467" s="78">
        <v>4</v>
      </c>
      <c r="D467" s="79" t="s">
        <v>982</v>
      </c>
      <c r="E467" s="79" t="s">
        <v>986</v>
      </c>
      <c r="F467" s="79"/>
      <c r="G467" s="80" t="s">
        <v>984</v>
      </c>
      <c r="H467" s="81">
        <v>63173</v>
      </c>
      <c r="I467" s="82">
        <v>319</v>
      </c>
      <c r="J467" s="98"/>
      <c r="K467" s="100">
        <v>0.5</v>
      </c>
      <c r="L467" s="84">
        <v>45699</v>
      </c>
      <c r="M467" s="85">
        <v>46219</v>
      </c>
      <c r="N467" s="86" cm="1">
        <f t="array" ref="N467">WORKDAY(M467,10)</f>
        <v>46233</v>
      </c>
      <c r="O467" s="87">
        <v>0</v>
      </c>
      <c r="P467" s="88">
        <v>0</v>
      </c>
      <c r="Q467" s="89">
        <v>46196</v>
      </c>
      <c r="R467" s="96">
        <v>46227</v>
      </c>
      <c r="S467" s="86" cm="1">
        <f t="array" ref="S467">WORKDAY(R467,10)</f>
        <v>46241</v>
      </c>
      <c r="T467" s="87">
        <v>0</v>
      </c>
      <c r="U467" s="91" t="s">
        <v>105</v>
      </c>
      <c r="V467" s="92">
        <v>0</v>
      </c>
      <c r="W467" s="93" cm="1">
        <f t="array" ref="W467">WORKDAY(X467,-20)</f>
        <v>46324</v>
      </c>
      <c r="X467" s="80" t="s">
        <v>980</v>
      </c>
      <c r="Y467" s="88">
        <v>0</v>
      </c>
      <c r="Z467" s="93">
        <v>46384</v>
      </c>
      <c r="AA467" s="90">
        <v>46426</v>
      </c>
      <c r="AB467" s="88">
        <v>0</v>
      </c>
      <c r="AC467" s="79" t="s">
        <v>49</v>
      </c>
      <c r="AD467" s="79" t="s">
        <v>49</v>
      </c>
      <c r="AE467" s="90"/>
      <c r="AF467" s="88">
        <v>0</v>
      </c>
      <c r="AG467" s="93" cm="1">
        <f t="array" ref="AG467">WORKDAY(AA467,2)</f>
        <v>46428</v>
      </c>
      <c r="AH467" s="90" cm="1">
        <f t="array" ref="AH467">WORKDAY(AG467,1)</f>
        <v>46429</v>
      </c>
      <c r="AI467" s="86" cm="1">
        <f t="array" ref="AI467">WORKDAY(AH467,1)</f>
        <v>46430</v>
      </c>
      <c r="AJ467" s="144"/>
      <c r="AK467" s="56"/>
    </row>
    <row r="468" spans="1:37" ht="25.5" customHeight="1">
      <c r="A468" s="140" cm="1">
        <f t="array" ref="A468">A467+1</f>
        <v>453</v>
      </c>
      <c r="B468" s="79" t="s">
        <v>987</v>
      </c>
      <c r="C468" s="78">
        <v>4</v>
      </c>
      <c r="D468" s="79" t="s">
        <v>982</v>
      </c>
      <c r="E468" s="79" t="s">
        <v>988</v>
      </c>
      <c r="F468" s="79"/>
      <c r="G468" s="80" t="s">
        <v>984</v>
      </c>
      <c r="H468" s="81">
        <v>63173</v>
      </c>
      <c r="I468" s="82">
        <v>320</v>
      </c>
      <c r="J468" s="98"/>
      <c r="K468" s="100">
        <v>0.5</v>
      </c>
      <c r="L468" s="84">
        <v>45699</v>
      </c>
      <c r="M468" s="85">
        <v>46219</v>
      </c>
      <c r="N468" s="86" cm="1">
        <f t="array" ref="N468">WORKDAY(M468,10)</f>
        <v>46233</v>
      </c>
      <c r="O468" s="87">
        <v>0</v>
      </c>
      <c r="P468" s="88">
        <v>0</v>
      </c>
      <c r="Q468" s="89">
        <v>46196</v>
      </c>
      <c r="R468" s="96">
        <v>46227</v>
      </c>
      <c r="S468" s="86" cm="1">
        <f t="array" ref="S468">WORKDAY(R468,10)</f>
        <v>46241</v>
      </c>
      <c r="T468" s="87">
        <v>0</v>
      </c>
      <c r="U468" s="91" t="s">
        <v>105</v>
      </c>
      <c r="V468" s="92">
        <v>0</v>
      </c>
      <c r="W468" s="93" cm="1">
        <f t="array" ref="W468">WORKDAY(X468,-20)</f>
        <v>46325</v>
      </c>
      <c r="X468" s="80" t="s">
        <v>989</v>
      </c>
      <c r="Y468" s="88">
        <v>0</v>
      </c>
      <c r="Z468" s="93">
        <v>46385</v>
      </c>
      <c r="AA468" s="90">
        <v>46427</v>
      </c>
      <c r="AB468" s="88">
        <v>0</v>
      </c>
      <c r="AC468" s="79" t="s">
        <v>49</v>
      </c>
      <c r="AD468" s="79" t="s">
        <v>49</v>
      </c>
      <c r="AE468" s="90"/>
      <c r="AF468" s="88">
        <v>0</v>
      </c>
      <c r="AG468" s="93" cm="1">
        <f t="array" ref="AG468">WORKDAY(AA468,2)</f>
        <v>46429</v>
      </c>
      <c r="AH468" s="90" cm="1">
        <f t="array" ref="AH468">WORKDAY(AG468,1)</f>
        <v>46430</v>
      </c>
      <c r="AI468" s="86" cm="1">
        <f t="array" ref="AI468">WORKDAY(AH468,1)</f>
        <v>46433</v>
      </c>
      <c r="AJ468" s="144"/>
      <c r="AK468" s="56"/>
    </row>
    <row r="469" spans="1:37" ht="25.5" customHeight="1">
      <c r="A469" s="140" cm="1">
        <f t="array" ref="A469">A468+1</f>
        <v>454</v>
      </c>
      <c r="B469" s="79" t="s">
        <v>990</v>
      </c>
      <c r="C469" s="78">
        <v>4</v>
      </c>
      <c r="D469" s="79" t="s">
        <v>982</v>
      </c>
      <c r="E469" s="79" t="s">
        <v>991</v>
      </c>
      <c r="F469" s="79"/>
      <c r="G469" s="80" t="s">
        <v>984</v>
      </c>
      <c r="H469" s="81">
        <v>63173</v>
      </c>
      <c r="I469" s="82">
        <v>321</v>
      </c>
      <c r="J469" s="98"/>
      <c r="K469" s="100">
        <v>0.5</v>
      </c>
      <c r="L469" s="84">
        <v>45699</v>
      </c>
      <c r="M469" s="85">
        <v>46219</v>
      </c>
      <c r="N469" s="86" cm="1">
        <f t="array" ref="N469">WORKDAY(M469,10)</f>
        <v>46233</v>
      </c>
      <c r="O469" s="87">
        <v>0</v>
      </c>
      <c r="P469" s="88">
        <v>0</v>
      </c>
      <c r="Q469" s="89">
        <v>46196</v>
      </c>
      <c r="R469" s="96">
        <v>46227</v>
      </c>
      <c r="S469" s="86" cm="1">
        <f t="array" ref="S469">WORKDAY(R469,10)</f>
        <v>46241</v>
      </c>
      <c r="T469" s="87">
        <v>0</v>
      </c>
      <c r="U469" s="91" t="s">
        <v>105</v>
      </c>
      <c r="V469" s="92">
        <v>0</v>
      </c>
      <c r="W469" s="93" cm="1">
        <f t="array" ref="W469">WORKDAY(X469,-20)</f>
        <v>46325</v>
      </c>
      <c r="X469" s="80" t="s">
        <v>989</v>
      </c>
      <c r="Y469" s="88">
        <v>0</v>
      </c>
      <c r="Z469" s="93">
        <v>46385</v>
      </c>
      <c r="AA469" s="90">
        <v>46427</v>
      </c>
      <c r="AB469" s="88">
        <v>0</v>
      </c>
      <c r="AC469" s="79" t="s">
        <v>49</v>
      </c>
      <c r="AD469" s="79" t="s">
        <v>49</v>
      </c>
      <c r="AE469" s="90"/>
      <c r="AF469" s="88">
        <v>0</v>
      </c>
      <c r="AG469" s="93" cm="1">
        <f t="array" ref="AG469">WORKDAY(AA469,2)</f>
        <v>46429</v>
      </c>
      <c r="AH469" s="90" cm="1">
        <f t="array" ref="AH469">WORKDAY(AG469,1)</f>
        <v>46430</v>
      </c>
      <c r="AI469" s="86" cm="1">
        <f t="array" ref="AI469">WORKDAY(AH469,1)</f>
        <v>46433</v>
      </c>
      <c r="AJ469" s="144"/>
      <c r="AK469" s="56"/>
    </row>
    <row r="470" spans="1:37" ht="25.5" customHeight="1">
      <c r="A470" s="140" cm="1">
        <f t="array" ref="A470">A469+1</f>
        <v>455</v>
      </c>
      <c r="B470" s="79" t="s">
        <v>992</v>
      </c>
      <c r="C470" s="78">
        <v>4</v>
      </c>
      <c r="D470" s="79" t="s">
        <v>982</v>
      </c>
      <c r="E470" s="79" t="s">
        <v>993</v>
      </c>
      <c r="F470" s="79"/>
      <c r="G470" s="80" t="s">
        <v>984</v>
      </c>
      <c r="H470" s="81">
        <v>63173</v>
      </c>
      <c r="I470" s="82">
        <v>322</v>
      </c>
      <c r="J470" s="98"/>
      <c r="K470" s="100">
        <v>0.5</v>
      </c>
      <c r="L470" s="84">
        <v>45699</v>
      </c>
      <c r="M470" s="85">
        <v>46219</v>
      </c>
      <c r="N470" s="86" cm="1">
        <f t="array" ref="N470">WORKDAY(M470,10)</f>
        <v>46233</v>
      </c>
      <c r="O470" s="87">
        <v>0</v>
      </c>
      <c r="P470" s="88">
        <v>0</v>
      </c>
      <c r="Q470" s="89">
        <v>46196</v>
      </c>
      <c r="R470" s="96">
        <v>46227</v>
      </c>
      <c r="S470" s="86" cm="1">
        <f t="array" ref="S470">WORKDAY(R470,10)</f>
        <v>46241</v>
      </c>
      <c r="T470" s="87">
        <v>0</v>
      </c>
      <c r="U470" s="91" t="s">
        <v>105</v>
      </c>
      <c r="V470" s="92">
        <v>0</v>
      </c>
      <c r="W470" s="93" cm="1">
        <f t="array" ref="W470">WORKDAY(X470,-20)</f>
        <v>46325</v>
      </c>
      <c r="X470" s="80" t="s">
        <v>989</v>
      </c>
      <c r="Y470" s="88">
        <v>0</v>
      </c>
      <c r="Z470" s="93">
        <v>46386</v>
      </c>
      <c r="AA470" s="90">
        <v>46428</v>
      </c>
      <c r="AB470" s="88">
        <v>0</v>
      </c>
      <c r="AC470" s="79" t="s">
        <v>49</v>
      </c>
      <c r="AD470" s="79" t="s">
        <v>49</v>
      </c>
      <c r="AE470" s="90"/>
      <c r="AF470" s="88">
        <v>0</v>
      </c>
      <c r="AG470" s="93" cm="1">
        <f t="array" ref="AG470">WORKDAY(AA470,2)</f>
        <v>46430</v>
      </c>
      <c r="AH470" s="90" cm="1">
        <f t="array" ref="AH470">WORKDAY(AG470,1)</f>
        <v>46433</v>
      </c>
      <c r="AI470" s="86" cm="1">
        <f t="array" ref="AI470">WORKDAY(AH470,1)</f>
        <v>46434</v>
      </c>
      <c r="AJ470" s="144"/>
      <c r="AK470" s="56"/>
    </row>
    <row r="471" spans="1:37" ht="25.5" customHeight="1">
      <c r="A471" s="140" cm="1">
        <f t="array" ref="A471">A470+1</f>
        <v>456</v>
      </c>
      <c r="B471" s="79" t="s">
        <v>994</v>
      </c>
      <c r="C471" s="78">
        <v>4</v>
      </c>
      <c r="D471" s="79" t="s">
        <v>982</v>
      </c>
      <c r="E471" s="79" t="s">
        <v>995</v>
      </c>
      <c r="F471" s="79"/>
      <c r="G471" s="80" t="s">
        <v>109</v>
      </c>
      <c r="H471" s="81">
        <v>63173</v>
      </c>
      <c r="I471" s="82">
        <v>323</v>
      </c>
      <c r="J471" s="98"/>
      <c r="K471" s="100">
        <v>0.5</v>
      </c>
      <c r="L471" s="101">
        <v>45699</v>
      </c>
      <c r="M471" s="85">
        <v>46219</v>
      </c>
      <c r="N471" s="86" cm="1">
        <f t="array" ref="N471">WORKDAY(M471,10)</f>
        <v>46233</v>
      </c>
      <c r="O471" s="87">
        <v>0</v>
      </c>
      <c r="P471" s="88">
        <v>0</v>
      </c>
      <c r="Q471" s="89">
        <v>46196</v>
      </c>
      <c r="R471" s="96">
        <v>46227</v>
      </c>
      <c r="S471" s="86" cm="1">
        <f t="array" ref="S471">WORKDAY(R471,10)</f>
        <v>46241</v>
      </c>
      <c r="T471" s="87">
        <v>0</v>
      </c>
      <c r="U471" s="91" t="s">
        <v>105</v>
      </c>
      <c r="V471" s="92">
        <v>0</v>
      </c>
      <c r="W471" s="93" cm="1">
        <f t="array" ref="W471">WORKDAY(X471,-20)</f>
        <v>46328</v>
      </c>
      <c r="X471" s="80" t="s">
        <v>996</v>
      </c>
      <c r="Y471" s="88">
        <v>0</v>
      </c>
      <c r="Z471" s="93">
        <v>46386</v>
      </c>
      <c r="AA471" s="90">
        <v>46428</v>
      </c>
      <c r="AB471" s="88">
        <v>0</v>
      </c>
      <c r="AC471" s="79" t="s">
        <v>49</v>
      </c>
      <c r="AD471" s="79" t="s">
        <v>49</v>
      </c>
      <c r="AE471" s="90"/>
      <c r="AF471" s="88">
        <v>0</v>
      </c>
      <c r="AG471" s="93" cm="1">
        <f t="array" ref="AG471">WORKDAY(AA471,2)</f>
        <v>46430</v>
      </c>
      <c r="AH471" s="90" cm="1">
        <f t="array" ref="AH471">WORKDAY(AG471,1)</f>
        <v>46433</v>
      </c>
      <c r="AI471" s="86" cm="1">
        <f t="array" ref="AI471">WORKDAY(AH471,1)</f>
        <v>46434</v>
      </c>
      <c r="AJ471" s="144"/>
      <c r="AK471" s="56"/>
    </row>
    <row r="472" spans="1:37" ht="25.5" customHeight="1">
      <c r="A472" s="140" cm="1">
        <f t="array" ref="A472">A471+1</f>
        <v>457</v>
      </c>
      <c r="B472" s="79" t="s">
        <v>997</v>
      </c>
      <c r="C472" s="78">
        <v>4</v>
      </c>
      <c r="D472" s="79" t="s">
        <v>982</v>
      </c>
      <c r="E472" s="79" t="s">
        <v>998</v>
      </c>
      <c r="F472" s="79"/>
      <c r="G472" s="80" t="s">
        <v>984</v>
      </c>
      <c r="H472" s="81">
        <v>63173</v>
      </c>
      <c r="I472" s="82">
        <v>324</v>
      </c>
      <c r="J472" s="98"/>
      <c r="K472" s="88">
        <v>0.5</v>
      </c>
      <c r="L472" s="89">
        <v>45699</v>
      </c>
      <c r="M472" s="102">
        <v>46219</v>
      </c>
      <c r="N472" s="86" cm="1">
        <f t="array" ref="N472">WORKDAY(M472,10)</f>
        <v>46233</v>
      </c>
      <c r="O472" s="87">
        <v>0</v>
      </c>
      <c r="P472" s="88">
        <v>0</v>
      </c>
      <c r="Q472" s="89">
        <v>46196</v>
      </c>
      <c r="R472" s="96">
        <v>46227</v>
      </c>
      <c r="S472" s="86" cm="1">
        <f t="array" ref="S472">WORKDAY(R472,10)</f>
        <v>46241</v>
      </c>
      <c r="T472" s="87">
        <v>0</v>
      </c>
      <c r="U472" s="91" t="s">
        <v>114</v>
      </c>
      <c r="V472" s="92">
        <v>0</v>
      </c>
      <c r="W472" s="93" cm="1">
        <f t="array" ref="W472">WORKDAY(X472,-20)</f>
        <v>46288</v>
      </c>
      <c r="X472" s="90">
        <v>46316</v>
      </c>
      <c r="Y472" s="88">
        <v>0</v>
      </c>
      <c r="Z472" s="93">
        <v>46386</v>
      </c>
      <c r="AA472" s="90">
        <v>46428</v>
      </c>
      <c r="AB472" s="88">
        <v>0</v>
      </c>
      <c r="AC472" s="79" t="s">
        <v>49</v>
      </c>
      <c r="AD472" s="79" t="s">
        <v>49</v>
      </c>
      <c r="AE472" s="90"/>
      <c r="AF472" s="88">
        <v>0</v>
      </c>
      <c r="AG472" s="93" cm="1">
        <f t="array" ref="AG472">WORKDAY(AA472,2)</f>
        <v>46430</v>
      </c>
      <c r="AH472" s="90" cm="1">
        <f t="array" ref="AH472">WORKDAY(AG472,1)</f>
        <v>46433</v>
      </c>
      <c r="AI472" s="86" cm="1">
        <f t="array" ref="AI472">WORKDAY(AH472,1)</f>
        <v>46434</v>
      </c>
      <c r="AJ472" s="144"/>
      <c r="AK472" s="56"/>
    </row>
    <row r="473" spans="1:37" ht="25.5" customHeight="1">
      <c r="A473" s="140" cm="1">
        <f t="array" ref="A473">A472+1</f>
        <v>458</v>
      </c>
      <c r="B473" s="79" t="s">
        <v>999</v>
      </c>
      <c r="C473" s="78">
        <v>4</v>
      </c>
      <c r="D473" s="79" t="s">
        <v>982</v>
      </c>
      <c r="E473" s="79" t="s">
        <v>1000</v>
      </c>
      <c r="F473" s="79"/>
      <c r="G473" s="80" t="s">
        <v>984</v>
      </c>
      <c r="H473" s="81">
        <v>63173</v>
      </c>
      <c r="I473" s="82">
        <v>325</v>
      </c>
      <c r="J473" s="98"/>
      <c r="K473" s="100">
        <v>0.5</v>
      </c>
      <c r="L473" s="103">
        <v>45699</v>
      </c>
      <c r="M473" s="85">
        <v>46219</v>
      </c>
      <c r="N473" s="86" cm="1">
        <f t="array" ref="N473">WORKDAY(M473,10)</f>
        <v>46233</v>
      </c>
      <c r="O473" s="87">
        <v>0</v>
      </c>
      <c r="P473" s="88">
        <v>0</v>
      </c>
      <c r="Q473" s="89">
        <v>46196</v>
      </c>
      <c r="R473" s="96">
        <v>46227</v>
      </c>
      <c r="S473" s="86" cm="1">
        <f t="array" ref="S473">WORKDAY(R473,10)</f>
        <v>46241</v>
      </c>
      <c r="T473" s="87">
        <v>0</v>
      </c>
      <c r="U473" s="91" t="s">
        <v>114</v>
      </c>
      <c r="V473" s="92">
        <v>0</v>
      </c>
      <c r="W473" s="93" cm="1">
        <f t="array" ref="W473">WORKDAY(X473,-20)</f>
        <v>46288</v>
      </c>
      <c r="X473" s="90">
        <v>46316</v>
      </c>
      <c r="Y473" s="88">
        <v>0</v>
      </c>
      <c r="Z473" s="93">
        <v>46387</v>
      </c>
      <c r="AA473" s="90">
        <v>46429</v>
      </c>
      <c r="AB473" s="88">
        <v>0</v>
      </c>
      <c r="AC473" s="79" t="s">
        <v>49</v>
      </c>
      <c r="AD473" s="79" t="s">
        <v>49</v>
      </c>
      <c r="AE473" s="90"/>
      <c r="AF473" s="88">
        <v>0</v>
      </c>
      <c r="AG473" s="93" cm="1">
        <f t="array" ref="AG473">WORKDAY(AA473,2)</f>
        <v>46433</v>
      </c>
      <c r="AH473" s="90" cm="1">
        <f t="array" ref="AH473">WORKDAY(AG473,1)</f>
        <v>46434</v>
      </c>
      <c r="AI473" s="86" cm="1">
        <f t="array" ref="AI473">WORKDAY(AH473,1)</f>
        <v>46435</v>
      </c>
      <c r="AJ473" s="144"/>
      <c r="AK473" s="56"/>
    </row>
    <row r="474" spans="1:37" ht="25.5" customHeight="1">
      <c r="A474" s="140" cm="1">
        <f t="array" ref="A474">A473+1</f>
        <v>459</v>
      </c>
      <c r="B474" s="79" t="s">
        <v>1001</v>
      </c>
      <c r="C474" s="78">
        <v>4</v>
      </c>
      <c r="D474" s="79" t="s">
        <v>982</v>
      </c>
      <c r="E474" s="79" t="s">
        <v>1002</v>
      </c>
      <c r="F474" s="79"/>
      <c r="G474" s="80" t="s">
        <v>984</v>
      </c>
      <c r="H474" s="81">
        <v>63173</v>
      </c>
      <c r="I474" s="82">
        <v>326</v>
      </c>
      <c r="J474" s="98"/>
      <c r="K474" s="100">
        <v>0.5</v>
      </c>
      <c r="L474" s="84">
        <v>45699</v>
      </c>
      <c r="M474" s="85">
        <v>46219</v>
      </c>
      <c r="N474" s="86" cm="1">
        <f t="array" ref="N474">WORKDAY(M474,10)</f>
        <v>46233</v>
      </c>
      <c r="O474" s="87">
        <v>0</v>
      </c>
      <c r="P474" s="88">
        <v>0</v>
      </c>
      <c r="Q474" s="89">
        <v>46196</v>
      </c>
      <c r="R474" s="96">
        <v>46227</v>
      </c>
      <c r="S474" s="86" cm="1">
        <f t="array" ref="S474">WORKDAY(R474,10)</f>
        <v>46241</v>
      </c>
      <c r="T474" s="87">
        <v>0</v>
      </c>
      <c r="U474" s="91" t="s">
        <v>114</v>
      </c>
      <c r="V474" s="92">
        <v>0</v>
      </c>
      <c r="W474" s="93" cm="1">
        <f t="array" ref="W474">WORKDAY(X474,-20)</f>
        <v>46289</v>
      </c>
      <c r="X474" s="90">
        <v>46317</v>
      </c>
      <c r="Y474" s="88">
        <v>0</v>
      </c>
      <c r="Z474" s="93">
        <v>46387</v>
      </c>
      <c r="AA474" s="90">
        <v>46429</v>
      </c>
      <c r="AB474" s="88">
        <v>0</v>
      </c>
      <c r="AC474" s="79" t="s">
        <v>49</v>
      </c>
      <c r="AD474" s="79" t="s">
        <v>49</v>
      </c>
      <c r="AE474" s="90"/>
      <c r="AF474" s="88">
        <v>0</v>
      </c>
      <c r="AG474" s="93" cm="1">
        <f t="array" ref="AG474">WORKDAY(AA474,2)</f>
        <v>46433</v>
      </c>
      <c r="AH474" s="90" cm="1">
        <f t="array" ref="AH474">WORKDAY(AG474,1)</f>
        <v>46434</v>
      </c>
      <c r="AI474" s="86" cm="1">
        <f t="array" ref="AI474">WORKDAY(AH474,1)</f>
        <v>46435</v>
      </c>
      <c r="AJ474" s="144"/>
      <c r="AK474" s="56"/>
    </row>
    <row r="475" spans="1:37" ht="25.5" customHeight="1">
      <c r="A475" s="140" cm="1">
        <f t="array" ref="A475">A474+1</f>
        <v>460</v>
      </c>
      <c r="B475" s="79" t="s">
        <v>1003</v>
      </c>
      <c r="C475" s="78">
        <v>4</v>
      </c>
      <c r="D475" s="79" t="s">
        <v>982</v>
      </c>
      <c r="E475" s="79" t="s">
        <v>1004</v>
      </c>
      <c r="F475" s="79"/>
      <c r="G475" s="80" t="s">
        <v>984</v>
      </c>
      <c r="H475" s="81">
        <v>63173</v>
      </c>
      <c r="I475" s="82">
        <v>327</v>
      </c>
      <c r="J475" s="98"/>
      <c r="K475" s="100">
        <v>0.5</v>
      </c>
      <c r="L475" s="84">
        <v>45699</v>
      </c>
      <c r="M475" s="85">
        <v>46219</v>
      </c>
      <c r="N475" s="86" cm="1">
        <f t="array" ref="N475">WORKDAY(M475,10)</f>
        <v>46233</v>
      </c>
      <c r="O475" s="87">
        <v>0</v>
      </c>
      <c r="P475" s="88">
        <v>0</v>
      </c>
      <c r="Q475" s="89">
        <v>46196</v>
      </c>
      <c r="R475" s="96">
        <v>46227</v>
      </c>
      <c r="S475" s="86" cm="1">
        <f t="array" ref="S475">WORKDAY(R475,10)</f>
        <v>46241</v>
      </c>
      <c r="T475" s="87">
        <v>0</v>
      </c>
      <c r="U475" s="91" t="s">
        <v>114</v>
      </c>
      <c r="V475" s="92">
        <v>0</v>
      </c>
      <c r="W475" s="93" cm="1">
        <f t="array" ref="W475">WORKDAY(X475,-20)</f>
        <v>46289</v>
      </c>
      <c r="X475" s="90">
        <v>46317</v>
      </c>
      <c r="Y475" s="88">
        <v>0</v>
      </c>
      <c r="Z475" s="93">
        <v>46387</v>
      </c>
      <c r="AA475" s="90">
        <v>46429</v>
      </c>
      <c r="AB475" s="88">
        <v>0</v>
      </c>
      <c r="AC475" s="79" t="s">
        <v>49</v>
      </c>
      <c r="AD475" s="79" t="s">
        <v>49</v>
      </c>
      <c r="AE475" s="90"/>
      <c r="AF475" s="88">
        <v>0</v>
      </c>
      <c r="AG475" s="93" cm="1">
        <f t="array" ref="AG475">WORKDAY(AA475,2)</f>
        <v>46433</v>
      </c>
      <c r="AH475" s="90" cm="1">
        <f t="array" ref="AH475">WORKDAY(AG475,1)</f>
        <v>46434</v>
      </c>
      <c r="AI475" s="86" cm="1">
        <f t="array" ref="AI475">WORKDAY(AH475,1)</f>
        <v>46435</v>
      </c>
      <c r="AJ475" s="144"/>
      <c r="AK475" s="56"/>
    </row>
    <row r="476" spans="1:37" ht="25.5" customHeight="1">
      <c r="A476" s="140" cm="1">
        <f t="array" ref="A476">A475+1</f>
        <v>461</v>
      </c>
      <c r="B476" s="79" t="s">
        <v>1005</v>
      </c>
      <c r="C476" s="78">
        <v>4</v>
      </c>
      <c r="D476" s="79" t="s">
        <v>982</v>
      </c>
      <c r="E476" s="79" t="s">
        <v>1006</v>
      </c>
      <c r="F476" s="79"/>
      <c r="G476" s="80" t="s">
        <v>984</v>
      </c>
      <c r="H476" s="81">
        <v>63173</v>
      </c>
      <c r="I476" s="82">
        <v>328</v>
      </c>
      <c r="J476" s="98"/>
      <c r="K476" s="100">
        <v>0.5</v>
      </c>
      <c r="L476" s="84">
        <v>45699</v>
      </c>
      <c r="M476" s="85">
        <v>46219</v>
      </c>
      <c r="N476" s="86" cm="1">
        <f t="array" ref="N476">WORKDAY(M476,10)</f>
        <v>46233</v>
      </c>
      <c r="O476" s="87">
        <v>0</v>
      </c>
      <c r="P476" s="88">
        <v>0</v>
      </c>
      <c r="Q476" s="89">
        <v>46196</v>
      </c>
      <c r="R476" s="96">
        <v>46227</v>
      </c>
      <c r="S476" s="86" cm="1">
        <f t="array" ref="S476">WORKDAY(R476,10)</f>
        <v>46241</v>
      </c>
      <c r="T476" s="87">
        <v>0</v>
      </c>
      <c r="U476" s="91" t="s">
        <v>114</v>
      </c>
      <c r="V476" s="92">
        <v>0</v>
      </c>
      <c r="W476" s="93" cm="1">
        <f t="array" ref="W476">WORKDAY(X476,-20)</f>
        <v>46290</v>
      </c>
      <c r="X476" s="90">
        <v>46318</v>
      </c>
      <c r="Y476" s="88">
        <v>0</v>
      </c>
      <c r="Z476" s="93">
        <v>46391</v>
      </c>
      <c r="AA476" s="90">
        <v>46433</v>
      </c>
      <c r="AB476" s="88">
        <v>0</v>
      </c>
      <c r="AC476" s="79" t="s">
        <v>49</v>
      </c>
      <c r="AD476" s="79" t="s">
        <v>49</v>
      </c>
      <c r="AE476" s="90"/>
      <c r="AF476" s="88">
        <v>0</v>
      </c>
      <c r="AG476" s="93" cm="1">
        <f t="array" ref="AG476">WORKDAY(AA476,2)</f>
        <v>46435</v>
      </c>
      <c r="AH476" s="90" cm="1">
        <f t="array" ref="AH476">WORKDAY(AG476,1)</f>
        <v>46436</v>
      </c>
      <c r="AI476" s="86" cm="1">
        <f t="array" ref="AI476">WORKDAY(AH476,1)</f>
        <v>46437</v>
      </c>
      <c r="AJ476" s="144"/>
      <c r="AK476" s="56"/>
    </row>
    <row r="477" spans="1:37" ht="25.5" customHeight="1">
      <c r="A477" s="140" cm="1">
        <f t="array" ref="A477">A476+1</f>
        <v>462</v>
      </c>
      <c r="B477" s="79" t="s">
        <v>1007</v>
      </c>
      <c r="C477" s="78">
        <v>4</v>
      </c>
      <c r="D477" s="79" t="s">
        <v>1008</v>
      </c>
      <c r="E477" s="79" t="s">
        <v>1009</v>
      </c>
      <c r="F477" s="79"/>
      <c r="G477" s="80" t="s">
        <v>984</v>
      </c>
      <c r="H477" s="81">
        <v>63173</v>
      </c>
      <c r="I477" s="82">
        <v>329</v>
      </c>
      <c r="J477" s="98"/>
      <c r="K477" s="107" t="s">
        <v>1010</v>
      </c>
      <c r="L477" s="84">
        <v>46056</v>
      </c>
      <c r="M477" s="85">
        <v>46097</v>
      </c>
      <c r="N477" s="86" cm="1">
        <f t="array" ref="N477">WORKDAY(M477,10)</f>
        <v>46111</v>
      </c>
      <c r="O477" s="87">
        <v>0</v>
      </c>
      <c r="P477" s="88">
        <v>0</v>
      </c>
      <c r="Q477" s="89">
        <v>46196</v>
      </c>
      <c r="R477" s="96">
        <v>46227</v>
      </c>
      <c r="S477" s="86" cm="1">
        <f t="array" ref="S477">WORKDAY(R477,10)</f>
        <v>46241</v>
      </c>
      <c r="T477" s="87">
        <v>0</v>
      </c>
      <c r="U477" s="91" t="s">
        <v>105</v>
      </c>
      <c r="V477" s="92">
        <v>0</v>
      </c>
      <c r="W477" s="93" cm="1">
        <f t="array" ref="W477">WORKDAY(X477,-20)</f>
        <v>46329</v>
      </c>
      <c r="X477" s="80" t="s">
        <v>1011</v>
      </c>
      <c r="Y477" s="88">
        <v>0</v>
      </c>
      <c r="Z477" s="93">
        <v>46391</v>
      </c>
      <c r="AA477" s="90">
        <v>46433</v>
      </c>
      <c r="AB477" s="88">
        <v>0</v>
      </c>
      <c r="AC477" s="79" t="s">
        <v>49</v>
      </c>
      <c r="AD477" s="79" t="s">
        <v>49</v>
      </c>
      <c r="AE477" s="90"/>
      <c r="AF477" s="88">
        <v>0</v>
      </c>
      <c r="AG477" s="93" cm="1">
        <f t="array" ref="AG477">WORKDAY(AA477,2)</f>
        <v>46435</v>
      </c>
      <c r="AH477" s="90" cm="1">
        <f t="array" ref="AH477">WORKDAY(AG477,1)</f>
        <v>46436</v>
      </c>
      <c r="AI477" s="86" cm="1">
        <f t="array" ref="AI477">WORKDAY(AH477,1)</f>
        <v>46437</v>
      </c>
      <c r="AJ477" s="144"/>
      <c r="AK477" s="56"/>
    </row>
    <row r="478" spans="1:37" ht="25.5" customHeight="1">
      <c r="A478" s="140" cm="1">
        <f t="array" ref="A478">A477+1</f>
        <v>463</v>
      </c>
      <c r="B478" s="79" t="s">
        <v>1012</v>
      </c>
      <c r="C478" s="78">
        <v>4</v>
      </c>
      <c r="D478" s="79" t="s">
        <v>1008</v>
      </c>
      <c r="E478" s="79" t="s">
        <v>1013</v>
      </c>
      <c r="F478" s="79"/>
      <c r="G478" s="80" t="s">
        <v>984</v>
      </c>
      <c r="H478" s="81">
        <v>63173</v>
      </c>
      <c r="I478" s="82">
        <v>330</v>
      </c>
      <c r="J478" s="98"/>
      <c r="K478" s="107" t="s">
        <v>1010</v>
      </c>
      <c r="L478" s="84">
        <v>46056</v>
      </c>
      <c r="M478" s="85">
        <v>46097</v>
      </c>
      <c r="N478" s="86" cm="1">
        <f t="array" ref="N478">WORKDAY(M478,10)</f>
        <v>46111</v>
      </c>
      <c r="O478" s="87">
        <v>0</v>
      </c>
      <c r="P478" s="88">
        <v>0</v>
      </c>
      <c r="Q478" s="89">
        <v>46196</v>
      </c>
      <c r="R478" s="96">
        <v>46227</v>
      </c>
      <c r="S478" s="86" cm="1">
        <f t="array" ref="S478">WORKDAY(R478,10)</f>
        <v>46241</v>
      </c>
      <c r="T478" s="87">
        <v>0</v>
      </c>
      <c r="U478" s="91" t="s">
        <v>105</v>
      </c>
      <c r="V478" s="92">
        <v>0</v>
      </c>
      <c r="W478" s="93" cm="1">
        <f t="array" ref="W478">WORKDAY(X478,-20)</f>
        <v>46330</v>
      </c>
      <c r="X478" s="80" t="s">
        <v>1014</v>
      </c>
      <c r="Y478" s="88">
        <v>0</v>
      </c>
      <c r="Z478" s="93">
        <v>46391</v>
      </c>
      <c r="AA478" s="90">
        <v>46433</v>
      </c>
      <c r="AB478" s="88">
        <v>0</v>
      </c>
      <c r="AC478" s="79" t="s">
        <v>49</v>
      </c>
      <c r="AD478" s="79" t="s">
        <v>49</v>
      </c>
      <c r="AE478" s="90"/>
      <c r="AF478" s="88">
        <v>0</v>
      </c>
      <c r="AG478" s="93" cm="1">
        <f t="array" ref="AG478">WORKDAY(AA478,2)</f>
        <v>46435</v>
      </c>
      <c r="AH478" s="90" cm="1">
        <f t="array" ref="AH478">WORKDAY(AG478,1)</f>
        <v>46436</v>
      </c>
      <c r="AI478" s="86" cm="1">
        <f t="array" ref="AI478">WORKDAY(AH478,1)</f>
        <v>46437</v>
      </c>
      <c r="AJ478" s="144"/>
      <c r="AK478" s="56"/>
    </row>
    <row r="479" spans="1:37" ht="25.5" customHeight="1">
      <c r="A479" s="140" cm="1">
        <f t="array" ref="A479">A478+1</f>
        <v>464</v>
      </c>
      <c r="B479" s="79" t="s">
        <v>1015</v>
      </c>
      <c r="C479" s="78">
        <v>4</v>
      </c>
      <c r="D479" s="79" t="s">
        <v>1016</v>
      </c>
      <c r="E479" s="79" t="s">
        <v>1017</v>
      </c>
      <c r="F479" s="79"/>
      <c r="G479" s="80" t="s">
        <v>984</v>
      </c>
      <c r="H479" s="81">
        <v>63173</v>
      </c>
      <c r="I479" s="82">
        <v>331</v>
      </c>
      <c r="J479" s="98"/>
      <c r="K479" s="107" t="s">
        <v>1010</v>
      </c>
      <c r="L479" s="84">
        <v>46056</v>
      </c>
      <c r="M479" s="85">
        <v>46097</v>
      </c>
      <c r="N479" s="86" cm="1">
        <f t="array" ref="N479">WORKDAY(M479,10)</f>
        <v>46111</v>
      </c>
      <c r="O479" s="87">
        <v>0</v>
      </c>
      <c r="P479" s="88">
        <v>0</v>
      </c>
      <c r="Q479" s="89">
        <v>46196</v>
      </c>
      <c r="R479" s="96">
        <v>46227</v>
      </c>
      <c r="S479" s="86" cm="1">
        <f t="array" ref="S479">WORKDAY(R479,10)</f>
        <v>46241</v>
      </c>
      <c r="T479" s="87">
        <v>0</v>
      </c>
      <c r="U479" s="91" t="s">
        <v>105</v>
      </c>
      <c r="V479" s="92">
        <v>0</v>
      </c>
      <c r="W479" s="93" cm="1">
        <f t="array" ref="W479">WORKDAY(X479,-20)</f>
        <v>46331</v>
      </c>
      <c r="X479" s="80" t="s">
        <v>1018</v>
      </c>
      <c r="Y479" s="88">
        <v>0</v>
      </c>
      <c r="Z479" s="93">
        <v>46392</v>
      </c>
      <c r="AA479" s="90">
        <v>46434</v>
      </c>
      <c r="AB479" s="88">
        <v>0</v>
      </c>
      <c r="AC479" s="79" t="s">
        <v>49</v>
      </c>
      <c r="AD479" s="79" t="s">
        <v>49</v>
      </c>
      <c r="AE479" s="90"/>
      <c r="AF479" s="88">
        <v>0</v>
      </c>
      <c r="AG479" s="93" cm="1">
        <f t="array" ref="AG479">WORKDAY(AA479,2)</f>
        <v>46436</v>
      </c>
      <c r="AH479" s="90" cm="1">
        <f t="array" ref="AH479">WORKDAY(AG479,1)</f>
        <v>46437</v>
      </c>
      <c r="AI479" s="86" cm="1">
        <f t="array" ref="AI479">WORKDAY(AH479,1)</f>
        <v>46440</v>
      </c>
      <c r="AJ479" s="144"/>
      <c r="AK479" s="56"/>
    </row>
    <row r="480" spans="1:37" ht="25.5" customHeight="1">
      <c r="A480" s="140" cm="1">
        <f t="array" ref="A480">A479+1</f>
        <v>465</v>
      </c>
      <c r="B480" s="79" t="s">
        <v>1019</v>
      </c>
      <c r="C480" s="78">
        <v>4</v>
      </c>
      <c r="D480" s="79" t="s">
        <v>1008</v>
      </c>
      <c r="E480" s="79" t="s">
        <v>1020</v>
      </c>
      <c r="F480" s="79"/>
      <c r="G480" s="80" t="s">
        <v>984</v>
      </c>
      <c r="H480" s="81">
        <v>63173</v>
      </c>
      <c r="I480" s="82">
        <v>332</v>
      </c>
      <c r="J480" s="98"/>
      <c r="K480" s="107" t="s">
        <v>1010</v>
      </c>
      <c r="L480" s="84">
        <v>46056</v>
      </c>
      <c r="M480" s="85">
        <v>46097</v>
      </c>
      <c r="N480" s="86" cm="1">
        <f t="array" ref="N480">WORKDAY(M480,10)</f>
        <v>46111</v>
      </c>
      <c r="O480" s="87">
        <v>0</v>
      </c>
      <c r="P480" s="88">
        <v>0</v>
      </c>
      <c r="Q480" s="89">
        <v>46196</v>
      </c>
      <c r="R480" s="96">
        <v>46227</v>
      </c>
      <c r="S480" s="86" cm="1">
        <f t="array" ref="S480">WORKDAY(R480,10)</f>
        <v>46241</v>
      </c>
      <c r="T480" s="87">
        <v>0</v>
      </c>
      <c r="U480" s="91" t="s">
        <v>105</v>
      </c>
      <c r="V480" s="92">
        <v>0</v>
      </c>
      <c r="W480" s="93" cm="1">
        <f t="array" ref="W480">WORKDAY(X480,-20)</f>
        <v>46332</v>
      </c>
      <c r="X480" s="80" t="s">
        <v>1021</v>
      </c>
      <c r="Y480" s="88">
        <v>0</v>
      </c>
      <c r="Z480" s="93">
        <v>46392</v>
      </c>
      <c r="AA480" s="90">
        <v>46434</v>
      </c>
      <c r="AB480" s="88">
        <v>0</v>
      </c>
      <c r="AC480" s="79" t="s">
        <v>49</v>
      </c>
      <c r="AD480" s="79" t="s">
        <v>49</v>
      </c>
      <c r="AE480" s="90"/>
      <c r="AF480" s="88">
        <v>0</v>
      </c>
      <c r="AG480" s="93" cm="1">
        <f t="array" ref="AG480">WORKDAY(AA480,2)</f>
        <v>46436</v>
      </c>
      <c r="AH480" s="90" cm="1">
        <f t="array" ref="AH480">WORKDAY(AG480,1)</f>
        <v>46437</v>
      </c>
      <c r="AI480" s="86" cm="1">
        <f t="array" ref="AI480">WORKDAY(AH480,1)</f>
        <v>46440</v>
      </c>
      <c r="AJ480" s="144"/>
      <c r="AK480" s="56"/>
    </row>
    <row r="481" spans="1:37" ht="25.5" customHeight="1">
      <c r="A481" s="140" cm="1">
        <f t="array" ref="A481">A480+1</f>
        <v>466</v>
      </c>
      <c r="B481" s="79" t="s">
        <v>1022</v>
      </c>
      <c r="C481" s="78">
        <v>4</v>
      </c>
      <c r="D481" s="79" t="s">
        <v>1008</v>
      </c>
      <c r="E481" s="79" t="s">
        <v>1023</v>
      </c>
      <c r="F481" s="79"/>
      <c r="G481" s="80" t="s">
        <v>984</v>
      </c>
      <c r="H481" s="81">
        <v>63173</v>
      </c>
      <c r="I481" s="82">
        <v>333</v>
      </c>
      <c r="J481" s="98"/>
      <c r="K481" s="107" t="s">
        <v>1010</v>
      </c>
      <c r="L481" s="84">
        <v>46056</v>
      </c>
      <c r="M481" s="85">
        <v>46097</v>
      </c>
      <c r="N481" s="86" cm="1">
        <f t="array" ref="N481">WORKDAY(M481,10)</f>
        <v>46111</v>
      </c>
      <c r="O481" s="87">
        <v>0</v>
      </c>
      <c r="P481" s="88">
        <v>0</v>
      </c>
      <c r="Q481" s="89">
        <v>46196</v>
      </c>
      <c r="R481" s="96">
        <v>46227</v>
      </c>
      <c r="S481" s="86" cm="1">
        <f t="array" ref="S481">WORKDAY(R481,10)</f>
        <v>46241</v>
      </c>
      <c r="T481" s="87">
        <v>0</v>
      </c>
      <c r="U481" s="91" t="s">
        <v>105</v>
      </c>
      <c r="V481" s="92">
        <v>0</v>
      </c>
      <c r="W481" s="93" cm="1">
        <f t="array" ref="W481">WORKDAY(X481,-20)</f>
        <v>46335</v>
      </c>
      <c r="X481" s="80" t="s">
        <v>1024</v>
      </c>
      <c r="Y481" s="88">
        <v>0</v>
      </c>
      <c r="Z481" s="93">
        <v>46392</v>
      </c>
      <c r="AA481" s="90">
        <v>46434</v>
      </c>
      <c r="AB481" s="88">
        <v>0</v>
      </c>
      <c r="AC481" s="79" t="s">
        <v>49</v>
      </c>
      <c r="AD481" s="79" t="s">
        <v>49</v>
      </c>
      <c r="AE481" s="90"/>
      <c r="AF481" s="88">
        <v>0</v>
      </c>
      <c r="AG481" s="93" cm="1">
        <f t="array" ref="AG481">WORKDAY(AA481,2)</f>
        <v>46436</v>
      </c>
      <c r="AH481" s="90" cm="1">
        <f t="array" ref="AH481">WORKDAY(AG481,1)</f>
        <v>46437</v>
      </c>
      <c r="AI481" s="86" cm="1">
        <f t="array" ref="AI481">WORKDAY(AH481,1)</f>
        <v>46440</v>
      </c>
      <c r="AJ481" s="144"/>
      <c r="AK481" s="56"/>
    </row>
    <row r="482" spans="1:37" ht="25.5" customHeight="1">
      <c r="A482" s="140" cm="1">
        <f t="array" ref="A482">A481+1</f>
        <v>467</v>
      </c>
      <c r="B482" s="79" t="s">
        <v>1025</v>
      </c>
      <c r="C482" s="78">
        <v>4</v>
      </c>
      <c r="D482" s="79" t="s">
        <v>1008</v>
      </c>
      <c r="E482" s="79" t="s">
        <v>1026</v>
      </c>
      <c r="F482" s="79"/>
      <c r="G482" s="80" t="s">
        <v>109</v>
      </c>
      <c r="H482" s="81">
        <v>63173</v>
      </c>
      <c r="I482" s="82">
        <v>334</v>
      </c>
      <c r="J482" s="98"/>
      <c r="K482" s="100">
        <v>0.5</v>
      </c>
      <c r="L482" s="84">
        <v>45699</v>
      </c>
      <c r="M482" s="85">
        <v>46219</v>
      </c>
      <c r="N482" s="86" cm="1">
        <f t="array" ref="N482">WORKDAY(M482,10)</f>
        <v>46233</v>
      </c>
      <c r="O482" s="87">
        <v>0</v>
      </c>
      <c r="P482" s="88">
        <v>0</v>
      </c>
      <c r="Q482" s="89">
        <v>46196</v>
      </c>
      <c r="R482" s="96">
        <v>46227</v>
      </c>
      <c r="S482" s="86" cm="1">
        <f t="array" ref="S482">WORKDAY(R482,10)</f>
        <v>46241</v>
      </c>
      <c r="T482" s="87">
        <v>0</v>
      </c>
      <c r="U482" s="91" t="s">
        <v>105</v>
      </c>
      <c r="V482" s="92">
        <v>0</v>
      </c>
      <c r="W482" s="93" cm="1">
        <f t="array" ref="W482">WORKDAY(X482,-20)</f>
        <v>46336</v>
      </c>
      <c r="X482" s="80" t="s">
        <v>1027</v>
      </c>
      <c r="Y482" s="88">
        <v>0</v>
      </c>
      <c r="Z482" s="93">
        <v>46393</v>
      </c>
      <c r="AA482" s="90">
        <v>46435</v>
      </c>
      <c r="AB482" s="88">
        <v>0</v>
      </c>
      <c r="AC482" s="79" t="s">
        <v>49</v>
      </c>
      <c r="AD482" s="79" t="s">
        <v>49</v>
      </c>
      <c r="AE482" s="90"/>
      <c r="AF482" s="88">
        <v>0</v>
      </c>
      <c r="AG482" s="93" cm="1">
        <f t="array" ref="AG482">WORKDAY(AA482,2)</f>
        <v>46437</v>
      </c>
      <c r="AH482" s="90" cm="1">
        <f t="array" ref="AH482">WORKDAY(AG482,1)</f>
        <v>46440</v>
      </c>
      <c r="AI482" s="86" cm="1">
        <f t="array" ref="AI482">WORKDAY(AH482,1)</f>
        <v>46441</v>
      </c>
      <c r="AJ482" s="144"/>
      <c r="AK482" s="56"/>
    </row>
    <row r="483" spans="1:37" ht="25.5" customHeight="1">
      <c r="A483" s="140" cm="1">
        <f t="array" ref="A483">A482+1</f>
        <v>468</v>
      </c>
      <c r="B483" s="79" t="s">
        <v>1028</v>
      </c>
      <c r="C483" s="78">
        <v>4</v>
      </c>
      <c r="D483" s="79" t="s">
        <v>1029</v>
      </c>
      <c r="E483" s="79" t="s">
        <v>1030</v>
      </c>
      <c r="F483" s="79"/>
      <c r="G483" s="80" t="s">
        <v>1031</v>
      </c>
      <c r="H483" s="81">
        <v>45551</v>
      </c>
      <c r="I483" s="82">
        <v>335</v>
      </c>
      <c r="J483" s="98"/>
      <c r="K483" s="100">
        <v>0.5</v>
      </c>
      <c r="L483" s="84">
        <v>46056</v>
      </c>
      <c r="M483" s="85">
        <v>46219</v>
      </c>
      <c r="N483" s="86" cm="1">
        <f t="array" ref="N483">WORKDAY(M483,10)</f>
        <v>46233</v>
      </c>
      <c r="O483" s="87">
        <v>0</v>
      </c>
      <c r="P483" s="88">
        <v>0</v>
      </c>
      <c r="Q483" s="89">
        <v>46196</v>
      </c>
      <c r="R483" s="96">
        <v>46227</v>
      </c>
      <c r="S483" s="86" cm="1">
        <f t="array" ref="S483">WORKDAY(R483,10)</f>
        <v>46241</v>
      </c>
      <c r="T483" s="87">
        <v>0</v>
      </c>
      <c r="U483" s="91" t="s">
        <v>105</v>
      </c>
      <c r="V483" s="92">
        <v>0</v>
      </c>
      <c r="W483" s="93" cm="1">
        <f t="array" ref="W483">WORKDAY(X483,-20)</f>
        <v>46337</v>
      </c>
      <c r="X483" s="80" t="s">
        <v>1032</v>
      </c>
      <c r="Y483" s="88">
        <v>0</v>
      </c>
      <c r="Z483" s="93">
        <v>46393</v>
      </c>
      <c r="AA483" s="90">
        <v>46435</v>
      </c>
      <c r="AB483" s="88">
        <v>0</v>
      </c>
      <c r="AC483" s="79" t="s">
        <v>49</v>
      </c>
      <c r="AD483" s="79" t="s">
        <v>49</v>
      </c>
      <c r="AE483" s="90"/>
      <c r="AF483" s="88">
        <v>0</v>
      </c>
      <c r="AG483" s="93" cm="1">
        <f t="array" ref="AG483">WORKDAY(AA483,2)</f>
        <v>46437</v>
      </c>
      <c r="AH483" s="90" cm="1">
        <f t="array" ref="AH483">WORKDAY(AG483,1)</f>
        <v>46440</v>
      </c>
      <c r="AI483" s="86" cm="1">
        <f t="array" ref="AI483">WORKDAY(AH483,1)</f>
        <v>46441</v>
      </c>
      <c r="AJ483" s="144"/>
      <c r="AK483" s="56"/>
    </row>
    <row r="484" spans="1:37" ht="25.5" customHeight="1">
      <c r="A484" s="140" cm="1">
        <f t="array" ref="A484">A483+1</f>
        <v>469</v>
      </c>
      <c r="B484" s="79" t="s">
        <v>1033</v>
      </c>
      <c r="C484" s="78">
        <v>4</v>
      </c>
      <c r="D484" s="79" t="s">
        <v>1029</v>
      </c>
      <c r="E484" s="79" t="s">
        <v>1034</v>
      </c>
      <c r="F484" s="79"/>
      <c r="G484" s="80" t="s">
        <v>1031</v>
      </c>
      <c r="H484" s="81">
        <v>45551</v>
      </c>
      <c r="I484" s="82">
        <v>336</v>
      </c>
      <c r="J484" s="98"/>
      <c r="K484" s="100">
        <v>0.5</v>
      </c>
      <c r="L484" s="84">
        <v>46056</v>
      </c>
      <c r="M484" s="85">
        <v>46219</v>
      </c>
      <c r="N484" s="86" cm="1">
        <f t="array" ref="N484">WORKDAY(M484,10)</f>
        <v>46233</v>
      </c>
      <c r="O484" s="87">
        <v>0</v>
      </c>
      <c r="P484" s="88">
        <v>0</v>
      </c>
      <c r="Q484" s="89">
        <v>46196</v>
      </c>
      <c r="R484" s="96">
        <v>46227</v>
      </c>
      <c r="S484" s="86" cm="1">
        <f t="array" ref="S484">WORKDAY(R484,10)</f>
        <v>46241</v>
      </c>
      <c r="T484" s="87">
        <v>0</v>
      </c>
      <c r="U484" s="91" t="s">
        <v>105</v>
      </c>
      <c r="V484" s="92">
        <v>0</v>
      </c>
      <c r="W484" s="93" cm="1">
        <f t="array" ref="W484">WORKDAY(X484,-20)</f>
        <v>46338</v>
      </c>
      <c r="X484" s="80" t="s">
        <v>1035</v>
      </c>
      <c r="Y484" s="88">
        <v>0</v>
      </c>
      <c r="Z484" s="93">
        <v>46393</v>
      </c>
      <c r="AA484" s="90">
        <v>46435</v>
      </c>
      <c r="AB484" s="88">
        <v>0</v>
      </c>
      <c r="AC484" s="79" t="s">
        <v>49</v>
      </c>
      <c r="AD484" s="79" t="s">
        <v>49</v>
      </c>
      <c r="AE484" s="90"/>
      <c r="AF484" s="88">
        <v>0</v>
      </c>
      <c r="AG484" s="93" cm="1">
        <f t="array" ref="AG484">WORKDAY(AA484,2)</f>
        <v>46437</v>
      </c>
      <c r="AH484" s="90" cm="1">
        <f t="array" ref="AH484">WORKDAY(AG484,1)</f>
        <v>46440</v>
      </c>
      <c r="AI484" s="86" cm="1">
        <f t="array" ref="AI484">WORKDAY(AH484,1)</f>
        <v>46441</v>
      </c>
      <c r="AJ484" s="144"/>
      <c r="AK484" s="56"/>
    </row>
    <row r="485" spans="1:37" ht="25.5" customHeight="1">
      <c r="A485" s="140" cm="1">
        <f t="array" ref="A485">A484+1</f>
        <v>470</v>
      </c>
      <c r="B485" s="79" t="s">
        <v>1036</v>
      </c>
      <c r="C485" s="78">
        <v>4</v>
      </c>
      <c r="D485" s="79" t="s">
        <v>1029</v>
      </c>
      <c r="E485" s="79" t="s">
        <v>1037</v>
      </c>
      <c r="F485" s="79"/>
      <c r="G485" s="80" t="s">
        <v>1031</v>
      </c>
      <c r="H485" s="81">
        <v>45551</v>
      </c>
      <c r="I485" s="82">
        <v>337</v>
      </c>
      <c r="J485" s="98"/>
      <c r="K485" s="100">
        <v>0.5</v>
      </c>
      <c r="L485" s="101">
        <v>46056</v>
      </c>
      <c r="M485" s="85">
        <v>46219</v>
      </c>
      <c r="N485" s="86" cm="1">
        <f t="array" ref="N485">WORKDAY(M485,10)</f>
        <v>46233</v>
      </c>
      <c r="O485" s="87">
        <v>0</v>
      </c>
      <c r="P485" s="88">
        <v>0</v>
      </c>
      <c r="Q485" s="89">
        <v>46196</v>
      </c>
      <c r="R485" s="96">
        <v>46227</v>
      </c>
      <c r="S485" s="86" cm="1">
        <f t="array" ref="S485">WORKDAY(R485,10)</f>
        <v>46241</v>
      </c>
      <c r="T485" s="87">
        <v>0</v>
      </c>
      <c r="U485" s="91" t="s">
        <v>105</v>
      </c>
      <c r="V485" s="92">
        <v>0</v>
      </c>
      <c r="W485" s="93" cm="1">
        <f t="array" ref="W485">WORKDAY(X485,-20)</f>
        <v>46339</v>
      </c>
      <c r="X485" s="80" t="s">
        <v>1038</v>
      </c>
      <c r="Y485" s="88">
        <v>0</v>
      </c>
      <c r="Z485" s="93">
        <v>46394</v>
      </c>
      <c r="AA485" s="90">
        <v>46436</v>
      </c>
      <c r="AB485" s="88">
        <v>0</v>
      </c>
      <c r="AC485" s="79" t="s">
        <v>49</v>
      </c>
      <c r="AD485" s="79" t="s">
        <v>49</v>
      </c>
      <c r="AE485" s="90"/>
      <c r="AF485" s="88">
        <v>0</v>
      </c>
      <c r="AG485" s="93" cm="1">
        <f t="array" ref="AG485">WORKDAY(AA485,2)</f>
        <v>46440</v>
      </c>
      <c r="AH485" s="90" cm="1">
        <f t="array" ref="AH485">WORKDAY(AG485,1)</f>
        <v>46441</v>
      </c>
      <c r="AI485" s="86" cm="1">
        <f t="array" ref="AI485">WORKDAY(AH485,1)</f>
        <v>46442</v>
      </c>
      <c r="AJ485" s="144"/>
      <c r="AK485" s="56"/>
    </row>
    <row r="486" spans="1:37" ht="25.5" customHeight="1">
      <c r="A486" s="140" cm="1">
        <f t="array" ref="A486">A485+1</f>
        <v>471</v>
      </c>
      <c r="B486" s="79" t="s">
        <v>1039</v>
      </c>
      <c r="C486" s="78">
        <v>4</v>
      </c>
      <c r="D486" s="79" t="s">
        <v>1029</v>
      </c>
      <c r="E486" s="79" t="s">
        <v>1040</v>
      </c>
      <c r="F486" s="79"/>
      <c r="G486" s="80" t="s">
        <v>1031</v>
      </c>
      <c r="H486" s="81">
        <v>45551</v>
      </c>
      <c r="I486" s="82">
        <v>338</v>
      </c>
      <c r="J486" s="98"/>
      <c r="K486" s="88">
        <v>0.5</v>
      </c>
      <c r="L486" s="89">
        <v>46056</v>
      </c>
      <c r="M486" s="102">
        <v>46219</v>
      </c>
      <c r="N486" s="86" cm="1">
        <f t="array" ref="N486">WORKDAY(M486,10)</f>
        <v>46233</v>
      </c>
      <c r="O486" s="87">
        <v>0</v>
      </c>
      <c r="P486" s="88">
        <v>0</v>
      </c>
      <c r="Q486" s="89">
        <v>46196</v>
      </c>
      <c r="R486" s="96">
        <v>46227</v>
      </c>
      <c r="S486" s="86" cm="1">
        <f t="array" ref="S486">WORKDAY(R486,10)</f>
        <v>46241</v>
      </c>
      <c r="T486" s="87">
        <v>0</v>
      </c>
      <c r="U486" s="91" t="s">
        <v>105</v>
      </c>
      <c r="V486" s="92">
        <v>0</v>
      </c>
      <c r="W486" s="93" cm="1">
        <f t="array" ref="W486">WORKDAY(X486,-20)</f>
        <v>46342</v>
      </c>
      <c r="X486" s="80" t="s">
        <v>1041</v>
      </c>
      <c r="Y486" s="88">
        <v>0</v>
      </c>
      <c r="Z486" s="93">
        <v>46394</v>
      </c>
      <c r="AA486" s="90">
        <v>46436</v>
      </c>
      <c r="AB486" s="88">
        <v>0</v>
      </c>
      <c r="AC486" s="79" t="s">
        <v>49</v>
      </c>
      <c r="AD486" s="79" t="s">
        <v>49</v>
      </c>
      <c r="AE486" s="90"/>
      <c r="AF486" s="88">
        <v>0</v>
      </c>
      <c r="AG486" s="93" cm="1">
        <f t="array" ref="AG486">WORKDAY(AA486,2)</f>
        <v>46440</v>
      </c>
      <c r="AH486" s="90" cm="1">
        <f t="array" ref="AH486">WORKDAY(AG486,1)</f>
        <v>46441</v>
      </c>
      <c r="AI486" s="86" cm="1">
        <f t="array" ref="AI486">WORKDAY(AH486,1)</f>
        <v>46442</v>
      </c>
      <c r="AJ486" s="144"/>
      <c r="AK486" s="56"/>
    </row>
    <row r="487" spans="1:37" ht="25.5" customHeight="1">
      <c r="A487" s="140" cm="1">
        <f t="array" ref="A487">A486+1</f>
        <v>472</v>
      </c>
      <c r="B487" s="79" t="s">
        <v>1042</v>
      </c>
      <c r="C487" s="78">
        <v>4</v>
      </c>
      <c r="D487" s="79" t="s">
        <v>1029</v>
      </c>
      <c r="E487" s="79" t="s">
        <v>1043</v>
      </c>
      <c r="F487" s="79"/>
      <c r="G487" s="80" t="s">
        <v>1031</v>
      </c>
      <c r="H487" s="81">
        <v>45551</v>
      </c>
      <c r="I487" s="82">
        <v>339</v>
      </c>
      <c r="J487" s="98"/>
      <c r="K487" s="100">
        <v>0.5</v>
      </c>
      <c r="L487" s="103">
        <v>46056</v>
      </c>
      <c r="M487" s="85">
        <v>46219</v>
      </c>
      <c r="N487" s="86" cm="1">
        <f t="array" ref="N487">WORKDAY(M487,10)</f>
        <v>46233</v>
      </c>
      <c r="O487" s="87">
        <v>0</v>
      </c>
      <c r="P487" s="88">
        <v>0</v>
      </c>
      <c r="Q487" s="89">
        <v>46196</v>
      </c>
      <c r="R487" s="96">
        <v>46227</v>
      </c>
      <c r="S487" s="86" cm="1">
        <f t="array" ref="S487">WORKDAY(R487,10)</f>
        <v>46241</v>
      </c>
      <c r="T487" s="87">
        <v>0</v>
      </c>
      <c r="U487" s="91" t="s">
        <v>105</v>
      </c>
      <c r="V487" s="92">
        <v>0</v>
      </c>
      <c r="W487" s="93" cm="1">
        <f t="array" ref="W487">WORKDAY(X487,-20)</f>
        <v>46343</v>
      </c>
      <c r="X487" s="80" t="s">
        <v>1044</v>
      </c>
      <c r="Y487" s="88">
        <v>0</v>
      </c>
      <c r="Z487" s="93">
        <v>46394</v>
      </c>
      <c r="AA487" s="90">
        <v>46436</v>
      </c>
      <c r="AB487" s="88">
        <v>0</v>
      </c>
      <c r="AC487" s="79" t="s">
        <v>49</v>
      </c>
      <c r="AD487" s="79" t="s">
        <v>49</v>
      </c>
      <c r="AE487" s="90"/>
      <c r="AF487" s="88">
        <v>0</v>
      </c>
      <c r="AG487" s="93" cm="1">
        <f t="array" ref="AG487">WORKDAY(AA487,2)</f>
        <v>46440</v>
      </c>
      <c r="AH487" s="90" cm="1">
        <f t="array" ref="AH487">WORKDAY(AG487,1)</f>
        <v>46441</v>
      </c>
      <c r="AI487" s="86" cm="1">
        <f t="array" ref="AI487">WORKDAY(AH487,1)</f>
        <v>46442</v>
      </c>
      <c r="AJ487" s="144"/>
      <c r="AK487" s="56"/>
    </row>
    <row r="488" spans="1:37" ht="25.5" customHeight="1">
      <c r="A488" s="140" cm="1">
        <f t="array" ref="A488">A487+1</f>
        <v>473</v>
      </c>
      <c r="B488" s="79" t="s">
        <v>1045</v>
      </c>
      <c r="C488" s="78">
        <v>4</v>
      </c>
      <c r="D488" s="79" t="s">
        <v>1029</v>
      </c>
      <c r="E488" s="79" t="s">
        <v>1046</v>
      </c>
      <c r="F488" s="79"/>
      <c r="G488" s="80" t="s">
        <v>1031</v>
      </c>
      <c r="H488" s="81">
        <v>45551</v>
      </c>
      <c r="I488" s="82">
        <v>340</v>
      </c>
      <c r="J488" s="98"/>
      <c r="K488" s="100">
        <v>0.5</v>
      </c>
      <c r="L488" s="84">
        <v>45699</v>
      </c>
      <c r="M488" s="85">
        <v>46219</v>
      </c>
      <c r="N488" s="86" cm="1">
        <f t="array" ref="N488">WORKDAY(M488,10)</f>
        <v>46233</v>
      </c>
      <c r="O488" s="87">
        <v>0</v>
      </c>
      <c r="P488" s="88">
        <v>0</v>
      </c>
      <c r="Q488" s="89">
        <v>46196</v>
      </c>
      <c r="R488" s="96">
        <v>46227</v>
      </c>
      <c r="S488" s="86" cm="1">
        <f t="array" ref="S488">WORKDAY(R488,10)</f>
        <v>46241</v>
      </c>
      <c r="T488" s="87">
        <v>0</v>
      </c>
      <c r="U488" s="91" t="s">
        <v>105</v>
      </c>
      <c r="V488" s="92">
        <v>0</v>
      </c>
      <c r="W488" s="93" cm="1">
        <f t="array" ref="W488">WORKDAY(X488,-20)</f>
        <v>46344</v>
      </c>
      <c r="X488" s="80" t="s">
        <v>1047</v>
      </c>
      <c r="Y488" s="88">
        <v>0</v>
      </c>
      <c r="Z488" s="93">
        <v>46395</v>
      </c>
      <c r="AA488" s="90">
        <v>46437</v>
      </c>
      <c r="AB488" s="88">
        <v>0</v>
      </c>
      <c r="AC488" s="79" t="s">
        <v>49</v>
      </c>
      <c r="AD488" s="79" t="s">
        <v>49</v>
      </c>
      <c r="AE488" s="90"/>
      <c r="AF488" s="88">
        <v>0</v>
      </c>
      <c r="AG488" s="93" cm="1">
        <f t="array" ref="AG488">WORKDAY(AA488,2)</f>
        <v>46441</v>
      </c>
      <c r="AH488" s="90" cm="1">
        <f t="array" ref="AH488">WORKDAY(AG488,1)</f>
        <v>46442</v>
      </c>
      <c r="AI488" s="86" cm="1">
        <f t="array" ref="AI488">WORKDAY(AH488,1)</f>
        <v>46443</v>
      </c>
      <c r="AJ488" s="144"/>
      <c r="AK488" s="56"/>
    </row>
    <row r="489" spans="1:37" ht="25.5" customHeight="1">
      <c r="A489" s="140" cm="1">
        <f t="array" ref="A489">A488+1</f>
        <v>474</v>
      </c>
      <c r="B489" s="79" t="s">
        <v>1048</v>
      </c>
      <c r="C489" s="78">
        <v>4</v>
      </c>
      <c r="D489" s="79" t="s">
        <v>1049</v>
      </c>
      <c r="E489" s="79" t="s">
        <v>1050</v>
      </c>
      <c r="F489" s="79"/>
      <c r="G489" s="80" t="s">
        <v>1031</v>
      </c>
      <c r="H489" s="81">
        <v>46807</v>
      </c>
      <c r="I489" s="82">
        <v>341</v>
      </c>
      <c r="J489" s="98"/>
      <c r="K489" s="100">
        <v>0.5</v>
      </c>
      <c r="L489" s="84">
        <v>45699</v>
      </c>
      <c r="M489" s="85">
        <v>46219</v>
      </c>
      <c r="N489" s="86" cm="1">
        <f t="array" ref="N489">WORKDAY(M489,10)</f>
        <v>46233</v>
      </c>
      <c r="O489" s="87">
        <v>0</v>
      </c>
      <c r="P489" s="88">
        <v>0</v>
      </c>
      <c r="Q489" s="89">
        <v>46196</v>
      </c>
      <c r="R489" s="96">
        <v>46227</v>
      </c>
      <c r="S489" s="86" cm="1">
        <f t="array" ref="S489">WORKDAY(R489,10)</f>
        <v>46241</v>
      </c>
      <c r="T489" s="87">
        <v>0</v>
      </c>
      <c r="U489" s="91" t="s">
        <v>114</v>
      </c>
      <c r="V489" s="92">
        <v>0</v>
      </c>
      <c r="W489" s="93" cm="1">
        <f t="array" ref="W489">WORKDAY(X489,-20)</f>
        <v>46290</v>
      </c>
      <c r="X489" s="90">
        <v>46318</v>
      </c>
      <c r="Y489" s="88">
        <v>0</v>
      </c>
      <c r="Z489" s="93">
        <v>46395</v>
      </c>
      <c r="AA489" s="90">
        <v>46437</v>
      </c>
      <c r="AB489" s="88">
        <v>0</v>
      </c>
      <c r="AC489" s="79" t="s">
        <v>49</v>
      </c>
      <c r="AD489" s="79" t="s">
        <v>49</v>
      </c>
      <c r="AE489" s="90"/>
      <c r="AF489" s="88">
        <v>0</v>
      </c>
      <c r="AG489" s="93" cm="1">
        <f t="array" ref="AG489">WORKDAY(AA489,2)</f>
        <v>46441</v>
      </c>
      <c r="AH489" s="90" cm="1">
        <f t="array" ref="AH489">WORKDAY(AG489,1)</f>
        <v>46442</v>
      </c>
      <c r="AI489" s="86" cm="1">
        <f t="array" ref="AI489">WORKDAY(AH489,1)</f>
        <v>46443</v>
      </c>
      <c r="AJ489" s="144"/>
      <c r="AK489" s="56"/>
    </row>
    <row r="490" spans="1:37" ht="25.5" customHeight="1">
      <c r="A490" s="140" cm="1">
        <f t="array" ref="A490">A489+1</f>
        <v>475</v>
      </c>
      <c r="B490" s="79" t="s">
        <v>1051</v>
      </c>
      <c r="C490" s="78">
        <v>4</v>
      </c>
      <c r="D490" s="79" t="s">
        <v>1049</v>
      </c>
      <c r="E490" s="79" t="s">
        <v>1052</v>
      </c>
      <c r="F490" s="79"/>
      <c r="G490" s="80" t="s">
        <v>1031</v>
      </c>
      <c r="H490" s="81">
        <v>46807</v>
      </c>
      <c r="I490" s="82">
        <v>342</v>
      </c>
      <c r="J490" s="98"/>
      <c r="K490" s="100">
        <v>0.5</v>
      </c>
      <c r="L490" s="84">
        <v>45699</v>
      </c>
      <c r="M490" s="85">
        <v>46219</v>
      </c>
      <c r="N490" s="86" cm="1">
        <f t="array" ref="N490">WORKDAY(M490,10)</f>
        <v>46233</v>
      </c>
      <c r="O490" s="87">
        <v>0</v>
      </c>
      <c r="P490" s="88">
        <v>0</v>
      </c>
      <c r="Q490" s="89">
        <v>46196</v>
      </c>
      <c r="R490" s="96">
        <v>46227</v>
      </c>
      <c r="S490" s="86" cm="1">
        <f t="array" ref="S490">WORKDAY(R490,10)</f>
        <v>46241</v>
      </c>
      <c r="T490" s="87">
        <v>0</v>
      </c>
      <c r="U490" s="91" t="s">
        <v>114</v>
      </c>
      <c r="V490" s="92">
        <v>0</v>
      </c>
      <c r="W490" s="93" cm="1">
        <f t="array" ref="W490">WORKDAY(X490,-20)</f>
        <v>46293</v>
      </c>
      <c r="X490" s="90">
        <v>46321</v>
      </c>
      <c r="Y490" s="88">
        <v>0</v>
      </c>
      <c r="Z490" s="93">
        <v>46395</v>
      </c>
      <c r="AA490" s="90">
        <v>46437</v>
      </c>
      <c r="AB490" s="88">
        <v>0</v>
      </c>
      <c r="AC490" s="79" t="s">
        <v>49</v>
      </c>
      <c r="AD490" s="79" t="s">
        <v>49</v>
      </c>
      <c r="AE490" s="90"/>
      <c r="AF490" s="88">
        <v>0</v>
      </c>
      <c r="AG490" s="93" cm="1">
        <f t="array" ref="AG490">WORKDAY(AA490,2)</f>
        <v>46441</v>
      </c>
      <c r="AH490" s="90" cm="1">
        <f t="array" ref="AH490">WORKDAY(AG490,1)</f>
        <v>46442</v>
      </c>
      <c r="AI490" s="86" cm="1">
        <f t="array" ref="AI490">WORKDAY(AH490,1)</f>
        <v>46443</v>
      </c>
      <c r="AJ490" s="144"/>
      <c r="AK490" s="56"/>
    </row>
    <row r="491" spans="1:37" ht="25.5" customHeight="1">
      <c r="A491" s="140" cm="1">
        <f t="array" ref="A491">A490+1</f>
        <v>476</v>
      </c>
      <c r="B491" s="79" t="s">
        <v>1053</v>
      </c>
      <c r="C491" s="78">
        <v>4</v>
      </c>
      <c r="D491" s="79" t="s">
        <v>1049</v>
      </c>
      <c r="E491" s="79" t="s">
        <v>1054</v>
      </c>
      <c r="F491" s="79"/>
      <c r="G491" s="80" t="s">
        <v>1031</v>
      </c>
      <c r="H491" s="81">
        <v>46807</v>
      </c>
      <c r="I491" s="82">
        <v>343</v>
      </c>
      <c r="J491" s="98"/>
      <c r="K491" s="100">
        <v>0.5</v>
      </c>
      <c r="L491" s="84">
        <v>45699</v>
      </c>
      <c r="M491" s="85">
        <v>46219</v>
      </c>
      <c r="N491" s="86" cm="1">
        <f t="array" ref="N491">WORKDAY(M491,10)</f>
        <v>46233</v>
      </c>
      <c r="O491" s="87">
        <v>0</v>
      </c>
      <c r="P491" s="88">
        <v>0</v>
      </c>
      <c r="Q491" s="89">
        <v>46196</v>
      </c>
      <c r="R491" s="96">
        <v>46227</v>
      </c>
      <c r="S491" s="86" cm="1">
        <f t="array" ref="S491">WORKDAY(R491,10)</f>
        <v>46241</v>
      </c>
      <c r="T491" s="87">
        <v>0</v>
      </c>
      <c r="U491" s="91" t="s">
        <v>114</v>
      </c>
      <c r="V491" s="92">
        <v>0</v>
      </c>
      <c r="W491" s="93" cm="1">
        <f t="array" ref="W491">WORKDAY(X491,-20)</f>
        <v>46293</v>
      </c>
      <c r="X491" s="90">
        <v>46321</v>
      </c>
      <c r="Y491" s="88">
        <v>0</v>
      </c>
      <c r="Z491" s="93">
        <v>46398</v>
      </c>
      <c r="AA491" s="90">
        <v>46440</v>
      </c>
      <c r="AB491" s="88">
        <v>0</v>
      </c>
      <c r="AC491" s="79" t="s">
        <v>49</v>
      </c>
      <c r="AD491" s="79" t="s">
        <v>49</v>
      </c>
      <c r="AE491" s="90"/>
      <c r="AF491" s="88">
        <v>0</v>
      </c>
      <c r="AG491" s="93" cm="1">
        <f t="array" ref="AG491">WORKDAY(AA491,2)</f>
        <v>46442</v>
      </c>
      <c r="AH491" s="90" cm="1">
        <f t="array" ref="AH491">WORKDAY(AG491,1)</f>
        <v>46443</v>
      </c>
      <c r="AI491" s="86" cm="1">
        <f t="array" ref="AI491">WORKDAY(AH491,1)</f>
        <v>46444</v>
      </c>
      <c r="AJ491" s="144"/>
      <c r="AK491" s="56"/>
    </row>
    <row r="492" spans="1:37" ht="25.5" customHeight="1">
      <c r="A492" s="140" cm="1">
        <f t="array" ref="A492">A491+1</f>
        <v>477</v>
      </c>
      <c r="B492" s="79" t="s">
        <v>1055</v>
      </c>
      <c r="C492" s="78">
        <v>4</v>
      </c>
      <c r="D492" s="79" t="s">
        <v>1049</v>
      </c>
      <c r="E492" s="79" t="s">
        <v>1056</v>
      </c>
      <c r="F492" s="79"/>
      <c r="G492" s="80" t="s">
        <v>1031</v>
      </c>
      <c r="H492" s="81">
        <v>46807</v>
      </c>
      <c r="I492" s="82">
        <v>344</v>
      </c>
      <c r="J492" s="98"/>
      <c r="K492" s="100">
        <v>0.5</v>
      </c>
      <c r="L492" s="84">
        <v>45699</v>
      </c>
      <c r="M492" s="85">
        <v>46219</v>
      </c>
      <c r="N492" s="86" cm="1">
        <f t="array" ref="N492">WORKDAY(M492,10)</f>
        <v>46233</v>
      </c>
      <c r="O492" s="87">
        <v>0</v>
      </c>
      <c r="P492" s="88">
        <v>0</v>
      </c>
      <c r="Q492" s="89">
        <v>46196</v>
      </c>
      <c r="R492" s="96">
        <v>46227</v>
      </c>
      <c r="S492" s="86" cm="1">
        <f t="array" ref="S492">WORKDAY(R492,10)</f>
        <v>46241</v>
      </c>
      <c r="T492" s="87">
        <v>0</v>
      </c>
      <c r="U492" s="91" t="s">
        <v>114</v>
      </c>
      <c r="V492" s="92">
        <v>0</v>
      </c>
      <c r="W492" s="93" cm="1">
        <f t="array" ref="W492">WORKDAY(X492,-20)</f>
        <v>46294</v>
      </c>
      <c r="X492" s="90">
        <v>46322</v>
      </c>
      <c r="Y492" s="88">
        <v>0</v>
      </c>
      <c r="Z492" s="93">
        <v>46398</v>
      </c>
      <c r="AA492" s="90">
        <v>46440</v>
      </c>
      <c r="AB492" s="88">
        <v>0</v>
      </c>
      <c r="AC492" s="79" t="s">
        <v>49</v>
      </c>
      <c r="AD492" s="79" t="s">
        <v>49</v>
      </c>
      <c r="AE492" s="90"/>
      <c r="AF492" s="88">
        <v>0</v>
      </c>
      <c r="AG492" s="93" cm="1">
        <f t="array" ref="AG492">WORKDAY(AA492,2)</f>
        <v>46442</v>
      </c>
      <c r="AH492" s="90" cm="1">
        <f t="array" ref="AH492">WORKDAY(AG492,1)</f>
        <v>46443</v>
      </c>
      <c r="AI492" s="86" cm="1">
        <f t="array" ref="AI492">WORKDAY(AH492,1)</f>
        <v>46444</v>
      </c>
      <c r="AJ492" s="144"/>
      <c r="AK492" s="56"/>
    </row>
    <row r="493" spans="1:37" ht="25.5" customHeight="1">
      <c r="A493" s="140" cm="1">
        <f t="array" ref="A493">A492+1</f>
        <v>478</v>
      </c>
      <c r="B493" s="79" t="s">
        <v>1057</v>
      </c>
      <c r="C493" s="78">
        <v>4</v>
      </c>
      <c r="D493" s="79" t="s">
        <v>1049</v>
      </c>
      <c r="E493" s="79" t="s">
        <v>1058</v>
      </c>
      <c r="F493" s="79"/>
      <c r="G493" s="80" t="s">
        <v>1031</v>
      </c>
      <c r="H493" s="81">
        <v>46807</v>
      </c>
      <c r="I493" s="82">
        <v>345</v>
      </c>
      <c r="J493" s="98"/>
      <c r="K493" s="100">
        <v>0.5</v>
      </c>
      <c r="L493" s="84">
        <v>45699</v>
      </c>
      <c r="M493" s="85">
        <v>46219</v>
      </c>
      <c r="N493" s="86" cm="1">
        <f t="array" ref="N493">WORKDAY(M493,10)</f>
        <v>46233</v>
      </c>
      <c r="O493" s="87">
        <v>0</v>
      </c>
      <c r="P493" s="88">
        <v>0</v>
      </c>
      <c r="Q493" s="89">
        <v>46196</v>
      </c>
      <c r="R493" s="96">
        <v>46227</v>
      </c>
      <c r="S493" s="86" cm="1">
        <f t="array" ref="S493">WORKDAY(R493,10)</f>
        <v>46241</v>
      </c>
      <c r="T493" s="87">
        <v>0</v>
      </c>
      <c r="U493" s="91" t="s">
        <v>114</v>
      </c>
      <c r="V493" s="92">
        <v>0</v>
      </c>
      <c r="W493" s="93" cm="1">
        <f t="array" ref="W493">WORKDAY(X493,-20)</f>
        <v>46294</v>
      </c>
      <c r="X493" s="90">
        <v>46322</v>
      </c>
      <c r="Y493" s="88">
        <v>0</v>
      </c>
      <c r="Z493" s="93">
        <v>46398</v>
      </c>
      <c r="AA493" s="90">
        <v>46440</v>
      </c>
      <c r="AB493" s="88">
        <v>0</v>
      </c>
      <c r="AC493" s="79" t="s">
        <v>49</v>
      </c>
      <c r="AD493" s="79" t="s">
        <v>49</v>
      </c>
      <c r="AE493" s="90"/>
      <c r="AF493" s="88">
        <v>0</v>
      </c>
      <c r="AG493" s="93" cm="1">
        <f t="array" ref="AG493">WORKDAY(AA493,2)</f>
        <v>46442</v>
      </c>
      <c r="AH493" s="90" cm="1">
        <f t="array" ref="AH493">WORKDAY(AG493,1)</f>
        <v>46443</v>
      </c>
      <c r="AI493" s="86" cm="1">
        <f t="array" ref="AI493">WORKDAY(AH493,1)</f>
        <v>46444</v>
      </c>
      <c r="AJ493" s="144"/>
      <c r="AK493" s="56"/>
    </row>
    <row r="494" spans="1:37" ht="25.5" customHeight="1">
      <c r="A494" s="140" cm="1">
        <f t="array" ref="A494">A493+1</f>
        <v>479</v>
      </c>
      <c r="B494" s="79" t="s">
        <v>1059</v>
      </c>
      <c r="C494" s="78">
        <v>4</v>
      </c>
      <c r="D494" s="79" t="s">
        <v>1060</v>
      </c>
      <c r="E494" s="79" t="s">
        <v>1061</v>
      </c>
      <c r="F494" s="79"/>
      <c r="G494" s="80" t="s">
        <v>1031</v>
      </c>
      <c r="H494" s="81">
        <v>46807</v>
      </c>
      <c r="I494" s="82">
        <v>346</v>
      </c>
      <c r="J494" s="98"/>
      <c r="K494" s="100">
        <v>0.5</v>
      </c>
      <c r="L494" s="84">
        <v>46056</v>
      </c>
      <c r="M494" s="85">
        <v>46219</v>
      </c>
      <c r="N494" s="86" cm="1">
        <f t="array" ref="N494">WORKDAY(M494,10)</f>
        <v>46233</v>
      </c>
      <c r="O494" s="87">
        <v>0</v>
      </c>
      <c r="P494" s="88">
        <v>0</v>
      </c>
      <c r="Q494" s="89">
        <v>46196</v>
      </c>
      <c r="R494" s="96">
        <v>46227</v>
      </c>
      <c r="S494" s="86" cm="1">
        <f t="array" ref="S494">WORKDAY(R494,10)</f>
        <v>46241</v>
      </c>
      <c r="T494" s="87">
        <v>0</v>
      </c>
      <c r="U494" s="91" t="s">
        <v>105</v>
      </c>
      <c r="V494" s="92">
        <v>0</v>
      </c>
      <c r="W494" s="93" cm="1">
        <f t="array" ref="W494">WORKDAY(X494,-20)</f>
        <v>46345</v>
      </c>
      <c r="X494" s="80" t="s">
        <v>1062</v>
      </c>
      <c r="Y494" s="88">
        <v>0</v>
      </c>
      <c r="Z494" s="93">
        <v>46399</v>
      </c>
      <c r="AA494" s="90">
        <v>46441</v>
      </c>
      <c r="AB494" s="88">
        <v>0</v>
      </c>
      <c r="AC494" s="79" t="s">
        <v>49</v>
      </c>
      <c r="AD494" s="79" t="s">
        <v>49</v>
      </c>
      <c r="AE494" s="90"/>
      <c r="AF494" s="88">
        <v>0</v>
      </c>
      <c r="AG494" s="93" cm="1">
        <f t="array" ref="AG494">WORKDAY(AA494,2)</f>
        <v>46443</v>
      </c>
      <c r="AH494" s="90" cm="1">
        <f t="array" ref="AH494">WORKDAY(AG494,1)</f>
        <v>46444</v>
      </c>
      <c r="AI494" s="86" cm="1">
        <f t="array" ref="AI494">WORKDAY(AH494,1)</f>
        <v>46447</v>
      </c>
      <c r="AJ494" s="144"/>
      <c r="AK494" s="56"/>
    </row>
    <row r="495" spans="1:37" ht="25.5" customHeight="1">
      <c r="A495" s="140" cm="1">
        <f t="array" ref="A495">A494+1</f>
        <v>480</v>
      </c>
      <c r="B495" s="79" t="s">
        <v>1063</v>
      </c>
      <c r="C495" s="78">
        <v>4</v>
      </c>
      <c r="D495" s="79" t="s">
        <v>1060</v>
      </c>
      <c r="E495" s="79" t="s">
        <v>1064</v>
      </c>
      <c r="F495" s="79"/>
      <c r="G495" s="80" t="s">
        <v>1031</v>
      </c>
      <c r="H495" s="81">
        <v>46807</v>
      </c>
      <c r="I495" s="82">
        <v>347</v>
      </c>
      <c r="J495" s="98"/>
      <c r="K495" s="100">
        <v>0.5</v>
      </c>
      <c r="L495" s="84">
        <v>46056</v>
      </c>
      <c r="M495" s="85">
        <v>46219</v>
      </c>
      <c r="N495" s="86" cm="1">
        <f t="array" ref="N495">WORKDAY(M495,10)</f>
        <v>46233</v>
      </c>
      <c r="O495" s="87">
        <v>0</v>
      </c>
      <c r="P495" s="88">
        <v>0</v>
      </c>
      <c r="Q495" s="89">
        <v>46196</v>
      </c>
      <c r="R495" s="96">
        <v>46227</v>
      </c>
      <c r="S495" s="86" cm="1">
        <f t="array" ref="S495">WORKDAY(R495,10)</f>
        <v>46241</v>
      </c>
      <c r="T495" s="87">
        <v>0</v>
      </c>
      <c r="U495" s="91" t="s">
        <v>105</v>
      </c>
      <c r="V495" s="92">
        <v>0</v>
      </c>
      <c r="W495" s="93" cm="1">
        <f t="array" ref="W495">WORKDAY(X495,-20)</f>
        <v>46346</v>
      </c>
      <c r="X495" s="80" t="s">
        <v>1065</v>
      </c>
      <c r="Y495" s="88">
        <v>0</v>
      </c>
      <c r="Z495" s="93">
        <v>46399</v>
      </c>
      <c r="AA495" s="90">
        <v>46441</v>
      </c>
      <c r="AB495" s="88">
        <v>0</v>
      </c>
      <c r="AC495" s="79" t="s">
        <v>49</v>
      </c>
      <c r="AD495" s="79" t="s">
        <v>49</v>
      </c>
      <c r="AE495" s="90"/>
      <c r="AF495" s="88">
        <v>0</v>
      </c>
      <c r="AG495" s="93" cm="1">
        <f t="array" ref="AG495">WORKDAY(AA495,2)</f>
        <v>46443</v>
      </c>
      <c r="AH495" s="90" cm="1">
        <f t="array" ref="AH495">WORKDAY(AG495,1)</f>
        <v>46444</v>
      </c>
      <c r="AI495" s="86" cm="1">
        <f t="array" ref="AI495">WORKDAY(AH495,1)</f>
        <v>46447</v>
      </c>
      <c r="AJ495" s="144"/>
      <c r="AK495" s="56"/>
    </row>
    <row r="496" spans="1:37" ht="25.5" customHeight="1">
      <c r="A496" s="140" cm="1">
        <f t="array" ref="A496">A495+1</f>
        <v>481</v>
      </c>
      <c r="B496" s="79" t="s">
        <v>1066</v>
      </c>
      <c r="C496" s="78">
        <v>4</v>
      </c>
      <c r="D496" s="79" t="s">
        <v>1060</v>
      </c>
      <c r="E496" s="79" t="s">
        <v>1067</v>
      </c>
      <c r="F496" s="79"/>
      <c r="G496" s="80" t="s">
        <v>1031</v>
      </c>
      <c r="H496" s="81">
        <v>46807</v>
      </c>
      <c r="I496" s="82">
        <v>348</v>
      </c>
      <c r="J496" s="98"/>
      <c r="K496" s="100">
        <v>0.5</v>
      </c>
      <c r="L496" s="84">
        <v>46056</v>
      </c>
      <c r="M496" s="85">
        <v>46219</v>
      </c>
      <c r="N496" s="86" cm="1">
        <f t="array" ref="N496">WORKDAY(M496,10)</f>
        <v>46233</v>
      </c>
      <c r="O496" s="87">
        <v>0</v>
      </c>
      <c r="P496" s="88">
        <v>0</v>
      </c>
      <c r="Q496" s="89">
        <v>46196</v>
      </c>
      <c r="R496" s="96">
        <v>46227</v>
      </c>
      <c r="S496" s="86" cm="1">
        <f t="array" ref="S496">WORKDAY(R496,10)</f>
        <v>46241</v>
      </c>
      <c r="T496" s="87">
        <v>0</v>
      </c>
      <c r="U496" s="91" t="s">
        <v>105</v>
      </c>
      <c r="V496" s="92">
        <v>0</v>
      </c>
      <c r="W496" s="93" cm="1">
        <f t="array" ref="W496">WORKDAY(X496,-20)</f>
        <v>46349</v>
      </c>
      <c r="X496" s="80" t="s">
        <v>1068</v>
      </c>
      <c r="Y496" s="88">
        <v>0</v>
      </c>
      <c r="Z496" s="93">
        <v>46399</v>
      </c>
      <c r="AA496" s="90">
        <v>46441</v>
      </c>
      <c r="AB496" s="88">
        <v>0</v>
      </c>
      <c r="AC496" s="79" t="s">
        <v>49</v>
      </c>
      <c r="AD496" s="79" t="s">
        <v>49</v>
      </c>
      <c r="AE496" s="90"/>
      <c r="AF496" s="88">
        <v>0</v>
      </c>
      <c r="AG496" s="93" cm="1">
        <f t="array" ref="AG496">WORKDAY(AA496,2)</f>
        <v>46443</v>
      </c>
      <c r="AH496" s="90" cm="1">
        <f t="array" ref="AH496">WORKDAY(AG496,1)</f>
        <v>46444</v>
      </c>
      <c r="AI496" s="86" cm="1">
        <f t="array" ref="AI496">WORKDAY(AH496,1)</f>
        <v>46447</v>
      </c>
      <c r="AJ496" s="144"/>
      <c r="AK496" s="56"/>
    </row>
    <row r="497" spans="1:37" ht="25.5" customHeight="1">
      <c r="A497" s="140" cm="1">
        <f t="array" ref="A497">A496+1</f>
        <v>482</v>
      </c>
      <c r="B497" s="79" t="s">
        <v>1069</v>
      </c>
      <c r="C497" s="78">
        <v>4</v>
      </c>
      <c r="D497" s="79" t="s">
        <v>1060</v>
      </c>
      <c r="E497" s="79" t="s">
        <v>1070</v>
      </c>
      <c r="F497" s="79"/>
      <c r="G497" s="80" t="s">
        <v>1031</v>
      </c>
      <c r="H497" s="81">
        <v>46807</v>
      </c>
      <c r="I497" s="82">
        <v>349</v>
      </c>
      <c r="J497" s="98"/>
      <c r="K497" s="100">
        <v>0.5</v>
      </c>
      <c r="L497" s="84">
        <v>46056</v>
      </c>
      <c r="M497" s="85">
        <v>46219</v>
      </c>
      <c r="N497" s="86" cm="1">
        <f t="array" ref="N497">WORKDAY(M497,10)</f>
        <v>46233</v>
      </c>
      <c r="O497" s="87">
        <v>0</v>
      </c>
      <c r="P497" s="88">
        <v>0</v>
      </c>
      <c r="Q497" s="89">
        <v>46196</v>
      </c>
      <c r="R497" s="96">
        <v>46227</v>
      </c>
      <c r="S497" s="86" cm="1">
        <f t="array" ref="S497">WORKDAY(R497,10)</f>
        <v>46241</v>
      </c>
      <c r="T497" s="87">
        <v>0</v>
      </c>
      <c r="U497" s="91" t="s">
        <v>105</v>
      </c>
      <c r="V497" s="92">
        <v>0</v>
      </c>
      <c r="W497" s="93" cm="1">
        <f t="array" ref="W497">WORKDAY(X497,-20)</f>
        <v>46349</v>
      </c>
      <c r="X497" s="80" t="s">
        <v>1068</v>
      </c>
      <c r="Y497" s="88">
        <v>0</v>
      </c>
      <c r="Z497" s="93">
        <v>46400</v>
      </c>
      <c r="AA497" s="90">
        <v>46442</v>
      </c>
      <c r="AB497" s="88">
        <v>0</v>
      </c>
      <c r="AC497" s="79" t="s">
        <v>49</v>
      </c>
      <c r="AD497" s="79" t="s">
        <v>49</v>
      </c>
      <c r="AE497" s="90"/>
      <c r="AF497" s="88">
        <v>0</v>
      </c>
      <c r="AG497" s="93" cm="1">
        <f t="array" ref="AG497">WORKDAY(AA497,2)</f>
        <v>46444</v>
      </c>
      <c r="AH497" s="90" cm="1">
        <f t="array" ref="AH497">WORKDAY(AG497,1)</f>
        <v>46447</v>
      </c>
      <c r="AI497" s="86" cm="1">
        <f t="array" ref="AI497">WORKDAY(AH497,1)</f>
        <v>46448</v>
      </c>
      <c r="AJ497" s="144"/>
      <c r="AK497" s="56"/>
    </row>
    <row r="498" spans="1:37" ht="25.5" customHeight="1">
      <c r="A498" s="140" cm="1">
        <f t="array" ref="A498">A497+1</f>
        <v>483</v>
      </c>
      <c r="B498" s="79" t="s">
        <v>1071</v>
      </c>
      <c r="C498" s="78">
        <v>4</v>
      </c>
      <c r="D498" s="79" t="s">
        <v>1060</v>
      </c>
      <c r="E498" s="79" t="s">
        <v>1072</v>
      </c>
      <c r="F498" s="79"/>
      <c r="G498" s="80" t="s">
        <v>1031</v>
      </c>
      <c r="H498" s="81">
        <v>46807</v>
      </c>
      <c r="I498" s="82">
        <v>350</v>
      </c>
      <c r="J498" s="98"/>
      <c r="K498" s="100">
        <v>0.5</v>
      </c>
      <c r="L498" s="84">
        <v>46056</v>
      </c>
      <c r="M498" s="85">
        <v>46219</v>
      </c>
      <c r="N498" s="86" cm="1">
        <f t="array" ref="N498">WORKDAY(M498,10)</f>
        <v>46233</v>
      </c>
      <c r="O498" s="87">
        <v>0</v>
      </c>
      <c r="P498" s="88">
        <v>0</v>
      </c>
      <c r="Q498" s="89">
        <v>46196</v>
      </c>
      <c r="R498" s="96">
        <v>46227</v>
      </c>
      <c r="S498" s="86" cm="1">
        <f t="array" ref="S498">WORKDAY(R498,10)</f>
        <v>46241</v>
      </c>
      <c r="T498" s="87">
        <v>0</v>
      </c>
      <c r="U498" s="91" t="s">
        <v>105</v>
      </c>
      <c r="V498" s="92">
        <v>0</v>
      </c>
      <c r="W498" s="93" cm="1">
        <f t="array" ref="W498">WORKDAY(X498,-20)</f>
        <v>46350</v>
      </c>
      <c r="X498" s="80" t="s">
        <v>1073</v>
      </c>
      <c r="Y498" s="88">
        <v>0</v>
      </c>
      <c r="Z498" s="93">
        <v>46400</v>
      </c>
      <c r="AA498" s="90">
        <v>46442</v>
      </c>
      <c r="AB498" s="88">
        <v>0</v>
      </c>
      <c r="AC498" s="79" t="s">
        <v>49</v>
      </c>
      <c r="AD498" s="79" t="s">
        <v>49</v>
      </c>
      <c r="AE498" s="90"/>
      <c r="AF498" s="88">
        <v>0</v>
      </c>
      <c r="AG498" s="93" cm="1">
        <f t="array" ref="AG498">WORKDAY(AA498,2)</f>
        <v>46444</v>
      </c>
      <c r="AH498" s="90" cm="1">
        <f t="array" ref="AH498">WORKDAY(AG498,1)</f>
        <v>46447</v>
      </c>
      <c r="AI498" s="86" cm="1">
        <f t="array" ref="AI498">WORKDAY(AH498,1)</f>
        <v>46448</v>
      </c>
      <c r="AJ498" s="144"/>
      <c r="AK498" s="56"/>
    </row>
    <row r="499" spans="1:37" ht="25.5" customHeight="1">
      <c r="A499" s="140" cm="1">
        <f t="array" ref="A499">A498+1</f>
        <v>484</v>
      </c>
      <c r="B499" s="79" t="s">
        <v>1074</v>
      </c>
      <c r="C499" s="78">
        <v>4</v>
      </c>
      <c r="D499" s="79" t="s">
        <v>1060</v>
      </c>
      <c r="E499" s="79" t="s">
        <v>1075</v>
      </c>
      <c r="F499" s="79"/>
      <c r="G499" s="80" t="s">
        <v>1031</v>
      </c>
      <c r="H499" s="81">
        <v>46807</v>
      </c>
      <c r="I499" s="82">
        <v>351</v>
      </c>
      <c r="J499" s="98"/>
      <c r="K499" s="100">
        <v>0.5</v>
      </c>
      <c r="L499" s="84">
        <v>46056</v>
      </c>
      <c r="M499" s="85">
        <v>46219</v>
      </c>
      <c r="N499" s="86" cm="1">
        <f t="array" ref="N499">WORKDAY(M499,10)</f>
        <v>46233</v>
      </c>
      <c r="O499" s="87">
        <v>0</v>
      </c>
      <c r="P499" s="88">
        <v>0</v>
      </c>
      <c r="Q499" s="89">
        <v>46196</v>
      </c>
      <c r="R499" s="96">
        <v>46227</v>
      </c>
      <c r="S499" s="86" cm="1">
        <f t="array" ref="S499">WORKDAY(R499,10)</f>
        <v>46241</v>
      </c>
      <c r="T499" s="87">
        <v>0</v>
      </c>
      <c r="U499" s="91" t="s">
        <v>105</v>
      </c>
      <c r="V499" s="92">
        <v>0</v>
      </c>
      <c r="W499" s="93" cm="1">
        <f t="array" ref="W499">WORKDAY(X499,-20)</f>
        <v>46350</v>
      </c>
      <c r="X499" s="80" t="s">
        <v>1073</v>
      </c>
      <c r="Y499" s="88">
        <v>0</v>
      </c>
      <c r="Z499" s="93">
        <v>46400</v>
      </c>
      <c r="AA499" s="90">
        <v>46442</v>
      </c>
      <c r="AB499" s="88">
        <v>0</v>
      </c>
      <c r="AC499" s="79" t="s">
        <v>49</v>
      </c>
      <c r="AD499" s="79" t="s">
        <v>49</v>
      </c>
      <c r="AE499" s="90"/>
      <c r="AF499" s="88">
        <v>0</v>
      </c>
      <c r="AG499" s="93" cm="1">
        <f t="array" ref="AG499">WORKDAY(AA499,2)</f>
        <v>46444</v>
      </c>
      <c r="AH499" s="90" cm="1">
        <f t="array" ref="AH499">WORKDAY(AG499,1)</f>
        <v>46447</v>
      </c>
      <c r="AI499" s="86" cm="1">
        <f t="array" ref="AI499">WORKDAY(AH499,1)</f>
        <v>46448</v>
      </c>
      <c r="AJ499" s="144"/>
      <c r="AK499" s="56"/>
    </row>
    <row r="500" spans="1:37" ht="25.5" customHeight="1">
      <c r="A500" s="140" cm="1">
        <f t="array" ref="A500">A499+1</f>
        <v>485</v>
      </c>
      <c r="B500" s="79" t="s">
        <v>1076</v>
      </c>
      <c r="C500" s="78">
        <v>4</v>
      </c>
      <c r="D500" s="108"/>
      <c r="E500" s="79" t="s">
        <v>1077</v>
      </c>
      <c r="F500" s="109"/>
      <c r="G500" s="80" t="s">
        <v>1078</v>
      </c>
      <c r="H500" s="81">
        <v>10725</v>
      </c>
      <c r="I500" s="82">
        <v>352</v>
      </c>
      <c r="J500" s="98"/>
      <c r="K500" s="100">
        <v>0.3</v>
      </c>
      <c r="L500" s="101">
        <v>45699</v>
      </c>
      <c r="M500" s="85">
        <v>46219</v>
      </c>
      <c r="N500" s="86" cm="1">
        <f t="array" ref="N500">WORKDAY(M500,10)</f>
        <v>46233</v>
      </c>
      <c r="O500" s="87">
        <v>0</v>
      </c>
      <c r="P500" s="88">
        <v>0</v>
      </c>
      <c r="Q500" s="89">
        <v>46196</v>
      </c>
      <c r="R500" s="96">
        <v>46227</v>
      </c>
      <c r="S500" s="86" cm="1">
        <f t="array" ref="S500">WORKDAY(R500,10)</f>
        <v>46241</v>
      </c>
      <c r="T500" s="87">
        <v>0</v>
      </c>
      <c r="U500" s="91" t="s">
        <v>114</v>
      </c>
      <c r="V500" s="92">
        <v>0</v>
      </c>
      <c r="W500" s="93" cm="1">
        <f t="array" ref="W500">WORKDAY(X500,-20)</f>
        <v>46295</v>
      </c>
      <c r="X500" s="90">
        <v>46323</v>
      </c>
      <c r="Y500" s="88">
        <v>0</v>
      </c>
      <c r="Z500" s="93">
        <v>46401</v>
      </c>
      <c r="AA500" s="90">
        <v>46443</v>
      </c>
      <c r="AB500" s="88">
        <v>0</v>
      </c>
      <c r="AC500" s="79" t="s">
        <v>49</v>
      </c>
      <c r="AD500" s="79" t="s">
        <v>49</v>
      </c>
      <c r="AE500" s="90"/>
      <c r="AF500" s="88">
        <v>0</v>
      </c>
      <c r="AG500" s="93" cm="1">
        <f t="array" ref="AG500">WORKDAY(AA500,2)</f>
        <v>46447</v>
      </c>
      <c r="AH500" s="90" cm="1">
        <f t="array" ref="AH500">WORKDAY(AG500,1)</f>
        <v>46448</v>
      </c>
      <c r="AI500" s="86" cm="1">
        <f t="array" ref="AI500">WORKDAY(AH500,1)</f>
        <v>46449</v>
      </c>
      <c r="AJ500" s="144"/>
      <c r="AK500" s="56"/>
    </row>
    <row r="501" spans="1:37" ht="25.5" customHeight="1">
      <c r="A501" s="140" cm="1">
        <f t="array" ref="A501">A500+1</f>
        <v>486</v>
      </c>
      <c r="B501" s="79" t="s">
        <v>1079</v>
      </c>
      <c r="C501" s="78">
        <v>4</v>
      </c>
      <c r="D501" s="108"/>
      <c r="E501" s="79" t="s">
        <v>1080</v>
      </c>
      <c r="F501" s="109"/>
      <c r="G501" s="80" t="s">
        <v>1078</v>
      </c>
      <c r="H501" s="81">
        <v>10725</v>
      </c>
      <c r="I501" s="82">
        <v>353</v>
      </c>
      <c r="J501" s="98"/>
      <c r="K501" s="88">
        <v>0.3</v>
      </c>
      <c r="L501" s="89">
        <v>45699</v>
      </c>
      <c r="M501" s="102">
        <v>46219</v>
      </c>
      <c r="N501" s="86" cm="1">
        <f t="array" ref="N501">WORKDAY(M501,10)</f>
        <v>46233</v>
      </c>
      <c r="O501" s="87">
        <v>0</v>
      </c>
      <c r="P501" s="88">
        <v>0</v>
      </c>
      <c r="Q501" s="89">
        <v>46196</v>
      </c>
      <c r="R501" s="96">
        <v>46227</v>
      </c>
      <c r="S501" s="86" cm="1">
        <f t="array" ref="S501">WORKDAY(R501,10)</f>
        <v>46241</v>
      </c>
      <c r="T501" s="87">
        <v>0</v>
      </c>
      <c r="U501" s="91" t="s">
        <v>114</v>
      </c>
      <c r="V501" s="92">
        <v>0</v>
      </c>
      <c r="W501" s="93" cm="1">
        <f t="array" ref="W501">WORKDAY(X501,-20)</f>
        <v>46295</v>
      </c>
      <c r="X501" s="90">
        <v>46323</v>
      </c>
      <c r="Y501" s="88">
        <v>0</v>
      </c>
      <c r="Z501" s="93">
        <v>46401</v>
      </c>
      <c r="AA501" s="90">
        <v>46443</v>
      </c>
      <c r="AB501" s="88">
        <v>0</v>
      </c>
      <c r="AC501" s="79" t="s">
        <v>49</v>
      </c>
      <c r="AD501" s="79" t="s">
        <v>49</v>
      </c>
      <c r="AE501" s="90"/>
      <c r="AF501" s="88">
        <v>0</v>
      </c>
      <c r="AG501" s="93" cm="1">
        <f t="array" ref="AG501">WORKDAY(AA501,2)</f>
        <v>46447</v>
      </c>
      <c r="AH501" s="90" cm="1">
        <f t="array" ref="AH501">WORKDAY(AG501,1)</f>
        <v>46448</v>
      </c>
      <c r="AI501" s="86" cm="1">
        <f t="array" ref="AI501">WORKDAY(AH501,1)</f>
        <v>46449</v>
      </c>
      <c r="AJ501" s="144"/>
      <c r="AK501" s="56"/>
    </row>
    <row r="502" spans="1:37" ht="25.5" customHeight="1">
      <c r="A502" s="140" cm="1">
        <f t="array" ref="A502">A501+1</f>
        <v>487</v>
      </c>
      <c r="B502" s="79" t="s">
        <v>1081</v>
      </c>
      <c r="C502" s="78">
        <v>4</v>
      </c>
      <c r="D502" s="108"/>
      <c r="E502" s="79" t="s">
        <v>1082</v>
      </c>
      <c r="F502" s="109"/>
      <c r="G502" s="80" t="s">
        <v>1078</v>
      </c>
      <c r="H502" s="81">
        <v>10725</v>
      </c>
      <c r="I502" s="82">
        <v>354</v>
      </c>
      <c r="J502" s="98"/>
      <c r="K502" s="100">
        <v>0.3</v>
      </c>
      <c r="L502" s="103">
        <v>45699</v>
      </c>
      <c r="M502" s="85">
        <v>46219</v>
      </c>
      <c r="N502" s="86" cm="1">
        <f t="array" ref="N502">WORKDAY(M502,10)</f>
        <v>46233</v>
      </c>
      <c r="O502" s="87">
        <v>0</v>
      </c>
      <c r="P502" s="88">
        <v>0</v>
      </c>
      <c r="Q502" s="89">
        <v>46196</v>
      </c>
      <c r="R502" s="96">
        <v>46227</v>
      </c>
      <c r="S502" s="86" cm="1">
        <f t="array" ref="S502">WORKDAY(R502,10)</f>
        <v>46241</v>
      </c>
      <c r="T502" s="87">
        <v>0</v>
      </c>
      <c r="U502" s="91" t="s">
        <v>114</v>
      </c>
      <c r="V502" s="92">
        <v>0</v>
      </c>
      <c r="W502" s="93" cm="1">
        <f t="array" ref="W502">WORKDAY(X502,-20)</f>
        <v>46296</v>
      </c>
      <c r="X502" s="90">
        <v>46324</v>
      </c>
      <c r="Y502" s="88">
        <v>0</v>
      </c>
      <c r="Z502" s="93">
        <v>46401</v>
      </c>
      <c r="AA502" s="90">
        <v>46443</v>
      </c>
      <c r="AB502" s="88">
        <v>0</v>
      </c>
      <c r="AC502" s="79" t="s">
        <v>49</v>
      </c>
      <c r="AD502" s="79" t="s">
        <v>49</v>
      </c>
      <c r="AE502" s="90"/>
      <c r="AF502" s="88">
        <v>0</v>
      </c>
      <c r="AG502" s="93" cm="1">
        <f t="array" ref="AG502">WORKDAY(AA502,2)</f>
        <v>46447</v>
      </c>
      <c r="AH502" s="90" cm="1">
        <f t="array" ref="AH502">WORKDAY(AG502,1)</f>
        <v>46448</v>
      </c>
      <c r="AI502" s="86" cm="1">
        <f t="array" ref="AI502">WORKDAY(AH502,1)</f>
        <v>46449</v>
      </c>
      <c r="AJ502" s="144"/>
      <c r="AK502" s="56"/>
    </row>
    <row r="503" spans="1:37" ht="25.5" customHeight="1">
      <c r="A503" s="140" cm="1">
        <f t="array" ref="A503">A502+1</f>
        <v>488</v>
      </c>
      <c r="B503" s="79" t="s">
        <v>1083</v>
      </c>
      <c r="C503" s="78">
        <v>4</v>
      </c>
      <c r="D503" s="108"/>
      <c r="E503" s="79" t="s">
        <v>1084</v>
      </c>
      <c r="F503" s="109"/>
      <c r="G503" s="80" t="s">
        <v>1078</v>
      </c>
      <c r="H503" s="81">
        <v>10725</v>
      </c>
      <c r="I503" s="82">
        <v>355</v>
      </c>
      <c r="J503" s="98"/>
      <c r="K503" s="100">
        <v>0.3</v>
      </c>
      <c r="L503" s="84">
        <v>45699</v>
      </c>
      <c r="M503" s="85">
        <v>46219</v>
      </c>
      <c r="N503" s="86" cm="1">
        <f t="array" ref="N503">WORKDAY(M503,10)</f>
        <v>46233</v>
      </c>
      <c r="O503" s="87">
        <v>0</v>
      </c>
      <c r="P503" s="88">
        <v>0</v>
      </c>
      <c r="Q503" s="89">
        <v>46196</v>
      </c>
      <c r="R503" s="96">
        <v>46227</v>
      </c>
      <c r="S503" s="86" cm="1">
        <f t="array" ref="S503">WORKDAY(R503,10)</f>
        <v>46241</v>
      </c>
      <c r="T503" s="87">
        <v>0</v>
      </c>
      <c r="U503" s="91" t="s">
        <v>114</v>
      </c>
      <c r="V503" s="92">
        <v>0</v>
      </c>
      <c r="W503" s="93" cm="1">
        <f t="array" ref="W503">WORKDAY(X503,-20)</f>
        <v>46296</v>
      </c>
      <c r="X503" s="90">
        <v>46324</v>
      </c>
      <c r="Y503" s="88">
        <v>0</v>
      </c>
      <c r="Z503" s="93">
        <v>46402</v>
      </c>
      <c r="AA503" s="90">
        <v>46444</v>
      </c>
      <c r="AB503" s="88">
        <v>0</v>
      </c>
      <c r="AC503" s="79" t="s">
        <v>49</v>
      </c>
      <c r="AD503" s="79" t="s">
        <v>49</v>
      </c>
      <c r="AE503" s="90"/>
      <c r="AF503" s="88">
        <v>0</v>
      </c>
      <c r="AG503" s="93" cm="1">
        <f t="array" ref="AG503">WORKDAY(AA503,2)</f>
        <v>46448</v>
      </c>
      <c r="AH503" s="90" cm="1">
        <f t="array" ref="AH503">WORKDAY(AG503,1)</f>
        <v>46449</v>
      </c>
      <c r="AI503" s="86" cm="1">
        <f t="array" ref="AI503">WORKDAY(AH503,1)</f>
        <v>46450</v>
      </c>
      <c r="AJ503" s="144"/>
      <c r="AK503" s="56"/>
    </row>
    <row r="504" spans="1:37" ht="25.5" customHeight="1">
      <c r="A504" s="140" cm="1">
        <f t="array" ref="A504">A503+1</f>
        <v>489</v>
      </c>
      <c r="B504" s="79" t="s">
        <v>1085</v>
      </c>
      <c r="C504" s="78">
        <v>4</v>
      </c>
      <c r="D504" s="108"/>
      <c r="E504" s="79" t="s">
        <v>1086</v>
      </c>
      <c r="F504" s="109"/>
      <c r="G504" s="80" t="s">
        <v>1078</v>
      </c>
      <c r="H504" s="81">
        <v>10725</v>
      </c>
      <c r="I504" s="82">
        <v>356</v>
      </c>
      <c r="J504" s="98"/>
      <c r="K504" s="100">
        <v>0.3</v>
      </c>
      <c r="L504" s="84">
        <v>45699</v>
      </c>
      <c r="M504" s="85">
        <v>46219</v>
      </c>
      <c r="N504" s="86" cm="1">
        <f t="array" ref="N504">WORKDAY(M504,10)</f>
        <v>46233</v>
      </c>
      <c r="O504" s="87">
        <v>0</v>
      </c>
      <c r="P504" s="88">
        <v>0</v>
      </c>
      <c r="Q504" s="89">
        <v>46196</v>
      </c>
      <c r="R504" s="96">
        <v>46227</v>
      </c>
      <c r="S504" s="86" cm="1">
        <f t="array" ref="S504">WORKDAY(R504,10)</f>
        <v>46241</v>
      </c>
      <c r="T504" s="87">
        <v>0</v>
      </c>
      <c r="U504" s="91" t="s">
        <v>114</v>
      </c>
      <c r="V504" s="92">
        <v>0</v>
      </c>
      <c r="W504" s="93" cm="1">
        <f t="array" ref="W504">WORKDAY(X504,-20)</f>
        <v>46297</v>
      </c>
      <c r="X504" s="90">
        <v>46325</v>
      </c>
      <c r="Y504" s="88">
        <v>0</v>
      </c>
      <c r="Z504" s="93">
        <v>46402</v>
      </c>
      <c r="AA504" s="90">
        <v>46444</v>
      </c>
      <c r="AB504" s="88">
        <v>0</v>
      </c>
      <c r="AC504" s="79" t="s">
        <v>49</v>
      </c>
      <c r="AD504" s="79" t="s">
        <v>49</v>
      </c>
      <c r="AE504" s="90"/>
      <c r="AF504" s="88">
        <v>0</v>
      </c>
      <c r="AG504" s="93" cm="1">
        <f t="array" ref="AG504">WORKDAY(AA504,2)</f>
        <v>46448</v>
      </c>
      <c r="AH504" s="90" cm="1">
        <f t="array" ref="AH504">WORKDAY(AG504,1)</f>
        <v>46449</v>
      </c>
      <c r="AI504" s="86" cm="1">
        <f t="array" ref="AI504">WORKDAY(AH504,1)</f>
        <v>46450</v>
      </c>
      <c r="AJ504" s="144"/>
      <c r="AK504" s="56"/>
    </row>
    <row r="505" spans="1:37" ht="25.5" customHeight="1">
      <c r="A505" s="140" cm="1">
        <f t="array" ref="A505">A504+1</f>
        <v>490</v>
      </c>
      <c r="B505" s="79" t="s">
        <v>1087</v>
      </c>
      <c r="C505" s="78">
        <v>4</v>
      </c>
      <c r="D505" s="108"/>
      <c r="E505" s="79" t="s">
        <v>1088</v>
      </c>
      <c r="F505" s="109"/>
      <c r="G505" s="80" t="s">
        <v>1078</v>
      </c>
      <c r="H505" s="81">
        <v>10725</v>
      </c>
      <c r="I505" s="82">
        <v>357</v>
      </c>
      <c r="J505" s="98"/>
      <c r="K505" s="100">
        <v>0.3</v>
      </c>
      <c r="L505" s="84">
        <v>45699</v>
      </c>
      <c r="M505" s="85">
        <v>46219</v>
      </c>
      <c r="N505" s="86" cm="1">
        <f t="array" ref="N505">WORKDAY(M505,10)</f>
        <v>46233</v>
      </c>
      <c r="O505" s="87">
        <v>0</v>
      </c>
      <c r="P505" s="88">
        <v>0</v>
      </c>
      <c r="Q505" s="89">
        <v>46196</v>
      </c>
      <c r="R505" s="96">
        <v>46227</v>
      </c>
      <c r="S505" s="86" cm="1">
        <f t="array" ref="S505">WORKDAY(R505,10)</f>
        <v>46241</v>
      </c>
      <c r="T505" s="87">
        <v>0</v>
      </c>
      <c r="U505" s="91" t="s">
        <v>114</v>
      </c>
      <c r="V505" s="92">
        <v>0</v>
      </c>
      <c r="W505" s="93" cm="1">
        <f t="array" ref="W505">WORKDAY(X505,-20)</f>
        <v>46297</v>
      </c>
      <c r="X505" s="90">
        <v>46325</v>
      </c>
      <c r="Y505" s="88">
        <v>0</v>
      </c>
      <c r="Z505" s="93">
        <v>46402</v>
      </c>
      <c r="AA505" s="90">
        <v>46444</v>
      </c>
      <c r="AB505" s="88">
        <v>0</v>
      </c>
      <c r="AC505" s="79" t="s">
        <v>49</v>
      </c>
      <c r="AD505" s="79" t="s">
        <v>49</v>
      </c>
      <c r="AE505" s="90"/>
      <c r="AF505" s="88">
        <v>0</v>
      </c>
      <c r="AG505" s="93" cm="1">
        <f t="array" ref="AG505">WORKDAY(AA505,2)</f>
        <v>46448</v>
      </c>
      <c r="AH505" s="90" cm="1">
        <f t="array" ref="AH505">WORKDAY(AG505,1)</f>
        <v>46449</v>
      </c>
      <c r="AI505" s="86" cm="1">
        <f t="array" ref="AI505">WORKDAY(AH505,1)</f>
        <v>46450</v>
      </c>
      <c r="AJ505" s="144"/>
      <c r="AK505" s="56"/>
    </row>
    <row r="506" spans="1:37" ht="25.5" customHeight="1">
      <c r="A506" s="140" cm="1">
        <f t="array" ref="A506">A505+1</f>
        <v>491</v>
      </c>
      <c r="B506" s="79" t="s">
        <v>1089</v>
      </c>
      <c r="C506" s="78">
        <v>4</v>
      </c>
      <c r="D506" s="108"/>
      <c r="E506" s="79" t="s">
        <v>1090</v>
      </c>
      <c r="F506" s="109"/>
      <c r="G506" s="80" t="s">
        <v>1078</v>
      </c>
      <c r="H506" s="81">
        <v>10725</v>
      </c>
      <c r="I506" s="82">
        <v>358</v>
      </c>
      <c r="J506" s="98"/>
      <c r="K506" s="100">
        <v>0.3</v>
      </c>
      <c r="L506" s="84">
        <v>45699</v>
      </c>
      <c r="M506" s="85">
        <v>46219</v>
      </c>
      <c r="N506" s="86" cm="1">
        <f t="array" ref="N506">WORKDAY(M506,10)</f>
        <v>46233</v>
      </c>
      <c r="O506" s="87">
        <v>0</v>
      </c>
      <c r="P506" s="88">
        <v>0</v>
      </c>
      <c r="Q506" s="89">
        <v>46196</v>
      </c>
      <c r="R506" s="96">
        <v>46227</v>
      </c>
      <c r="S506" s="86" cm="1">
        <f t="array" ref="S506">WORKDAY(R506,10)</f>
        <v>46241</v>
      </c>
      <c r="T506" s="87">
        <v>0</v>
      </c>
      <c r="U506" s="91" t="s">
        <v>114</v>
      </c>
      <c r="V506" s="92">
        <v>0</v>
      </c>
      <c r="W506" s="93" cm="1">
        <f t="array" ref="W506">WORKDAY(X506,-20)</f>
        <v>46301</v>
      </c>
      <c r="X506" s="80" t="s">
        <v>860</v>
      </c>
      <c r="Y506" s="88">
        <v>0</v>
      </c>
      <c r="Z506" s="93">
        <v>46405</v>
      </c>
      <c r="AA506" s="90">
        <v>46447</v>
      </c>
      <c r="AB506" s="88">
        <v>0</v>
      </c>
      <c r="AC506" s="79" t="s">
        <v>49</v>
      </c>
      <c r="AD506" s="79" t="s">
        <v>49</v>
      </c>
      <c r="AE506" s="90"/>
      <c r="AF506" s="88">
        <v>0</v>
      </c>
      <c r="AG506" s="93" cm="1">
        <f t="array" ref="AG506">WORKDAY(AA506,2)</f>
        <v>46449</v>
      </c>
      <c r="AH506" s="90" cm="1">
        <f t="array" ref="AH506">WORKDAY(AG506,1)</f>
        <v>46450</v>
      </c>
      <c r="AI506" s="86" cm="1">
        <f t="array" ref="AI506">WORKDAY(AH506,1)</f>
        <v>46451</v>
      </c>
      <c r="AJ506" s="144"/>
      <c r="AK506" s="56"/>
    </row>
    <row r="507" spans="1:37" ht="25.5" customHeight="1">
      <c r="A507" s="140" cm="1">
        <f t="array" ref="A507">A506+1</f>
        <v>492</v>
      </c>
      <c r="B507" s="79" t="s">
        <v>1091</v>
      </c>
      <c r="C507" s="78">
        <v>4</v>
      </c>
      <c r="D507" s="79" t="s">
        <v>1092</v>
      </c>
      <c r="E507" s="79" t="s">
        <v>1093</v>
      </c>
      <c r="F507" s="79"/>
      <c r="G507" s="80" t="s">
        <v>1094</v>
      </c>
      <c r="H507" s="81">
        <v>32234</v>
      </c>
      <c r="I507" s="82">
        <v>359</v>
      </c>
      <c r="J507" s="98"/>
      <c r="K507" s="100">
        <v>0.3</v>
      </c>
      <c r="L507" s="84">
        <v>46056</v>
      </c>
      <c r="M507" s="85">
        <v>46219</v>
      </c>
      <c r="N507" s="86" cm="1">
        <f t="array" ref="N507">WORKDAY(M507,10)</f>
        <v>46233</v>
      </c>
      <c r="O507" s="87">
        <v>0</v>
      </c>
      <c r="P507" s="88">
        <v>0</v>
      </c>
      <c r="Q507" s="89">
        <v>46196</v>
      </c>
      <c r="R507" s="96">
        <v>46227</v>
      </c>
      <c r="S507" s="86" cm="1">
        <f t="array" ref="S507">WORKDAY(R507,10)</f>
        <v>46241</v>
      </c>
      <c r="T507" s="87">
        <v>0</v>
      </c>
      <c r="U507" s="91" t="s">
        <v>105</v>
      </c>
      <c r="V507" s="92">
        <v>0</v>
      </c>
      <c r="W507" s="93" cm="1">
        <f t="array" ref="W507">WORKDAY(X507,-20)</f>
        <v>46356</v>
      </c>
      <c r="X507" s="80" t="s">
        <v>1095</v>
      </c>
      <c r="Y507" s="88">
        <v>0</v>
      </c>
      <c r="Z507" s="93">
        <v>46405</v>
      </c>
      <c r="AA507" s="90">
        <v>46447</v>
      </c>
      <c r="AB507" s="88">
        <v>0</v>
      </c>
      <c r="AC507" s="79" t="s">
        <v>49</v>
      </c>
      <c r="AD507" s="79" t="s">
        <v>49</v>
      </c>
      <c r="AE507" s="90"/>
      <c r="AF507" s="88">
        <v>0</v>
      </c>
      <c r="AG507" s="93" cm="1">
        <f t="array" ref="AG507">WORKDAY(AA507,2)</f>
        <v>46449</v>
      </c>
      <c r="AH507" s="90" cm="1">
        <f t="array" ref="AH507">WORKDAY(AG507,1)</f>
        <v>46450</v>
      </c>
      <c r="AI507" s="86" cm="1">
        <f t="array" ref="AI507">WORKDAY(AH507,1)</f>
        <v>46451</v>
      </c>
      <c r="AJ507" s="144"/>
      <c r="AK507" s="56"/>
    </row>
    <row r="508" spans="1:37" ht="25.5" customHeight="1">
      <c r="A508" s="140" cm="1">
        <f t="array" ref="A508">A507+1</f>
        <v>493</v>
      </c>
      <c r="B508" s="79" t="s">
        <v>1096</v>
      </c>
      <c r="C508" s="78">
        <v>4</v>
      </c>
      <c r="D508" s="79" t="s">
        <v>1097</v>
      </c>
      <c r="E508" s="79" t="s">
        <v>1098</v>
      </c>
      <c r="F508" s="79"/>
      <c r="G508" s="80" t="s">
        <v>1094</v>
      </c>
      <c r="H508" s="81">
        <v>41909</v>
      </c>
      <c r="I508" s="82">
        <v>360</v>
      </c>
      <c r="J508" s="98"/>
      <c r="K508" s="100">
        <v>0.3</v>
      </c>
      <c r="L508" s="84">
        <v>46056</v>
      </c>
      <c r="M508" s="85">
        <v>46219</v>
      </c>
      <c r="N508" s="86" cm="1">
        <f t="array" ref="N508">WORKDAY(M508,10)</f>
        <v>46233</v>
      </c>
      <c r="O508" s="87">
        <v>0</v>
      </c>
      <c r="P508" s="88">
        <v>0</v>
      </c>
      <c r="Q508" s="89">
        <v>46196</v>
      </c>
      <c r="R508" s="96">
        <v>46227</v>
      </c>
      <c r="S508" s="86" cm="1">
        <f t="array" ref="S508">WORKDAY(R508,10)</f>
        <v>46241</v>
      </c>
      <c r="T508" s="87">
        <v>0</v>
      </c>
      <c r="U508" s="91" t="s">
        <v>105</v>
      </c>
      <c r="V508" s="92">
        <v>0</v>
      </c>
      <c r="W508" s="93" cm="1">
        <f t="array" ref="W508">WORKDAY(X508,-20)</f>
        <v>46356</v>
      </c>
      <c r="X508" s="80" t="s">
        <v>1095</v>
      </c>
      <c r="Y508" s="88">
        <v>0</v>
      </c>
      <c r="Z508" s="93">
        <v>46406</v>
      </c>
      <c r="AA508" s="90">
        <v>46448</v>
      </c>
      <c r="AB508" s="88">
        <v>0</v>
      </c>
      <c r="AC508" s="79" t="s">
        <v>49</v>
      </c>
      <c r="AD508" s="79" t="s">
        <v>49</v>
      </c>
      <c r="AE508" s="90"/>
      <c r="AF508" s="88">
        <v>0</v>
      </c>
      <c r="AG508" s="93" cm="1">
        <f t="array" ref="AG508">WORKDAY(AA508,2)</f>
        <v>46450</v>
      </c>
      <c r="AH508" s="90" cm="1">
        <f t="array" ref="AH508">WORKDAY(AG508,1)</f>
        <v>46451</v>
      </c>
      <c r="AI508" s="86" cm="1">
        <f t="array" ref="AI508">WORKDAY(AH508,1)</f>
        <v>46454</v>
      </c>
      <c r="AJ508" s="144"/>
      <c r="AK508" s="56"/>
    </row>
    <row r="509" spans="1:37" ht="25.5" customHeight="1">
      <c r="A509" s="140" cm="1">
        <f t="array" ref="A509">A508+1</f>
        <v>494</v>
      </c>
      <c r="B509" s="79" t="s">
        <v>1099</v>
      </c>
      <c r="C509" s="78">
        <v>4</v>
      </c>
      <c r="D509" s="79" t="s">
        <v>1100</v>
      </c>
      <c r="E509" s="79" t="s">
        <v>1101</v>
      </c>
      <c r="F509" s="79"/>
      <c r="G509" s="80" t="s">
        <v>1031</v>
      </c>
      <c r="H509" s="81">
        <v>60856</v>
      </c>
      <c r="I509" s="82">
        <v>361</v>
      </c>
      <c r="J509" s="98"/>
      <c r="K509" s="100">
        <v>0.3</v>
      </c>
      <c r="L509" s="84">
        <v>46056</v>
      </c>
      <c r="M509" s="85">
        <v>46219</v>
      </c>
      <c r="N509" s="86" cm="1">
        <f t="array" ref="N509">WORKDAY(M509,10)</f>
        <v>46233</v>
      </c>
      <c r="O509" s="87">
        <v>0</v>
      </c>
      <c r="P509" s="88">
        <v>0</v>
      </c>
      <c r="Q509" s="89">
        <v>46196</v>
      </c>
      <c r="R509" s="96">
        <v>46227</v>
      </c>
      <c r="S509" s="86" cm="1">
        <f t="array" ref="S509">WORKDAY(R509,10)</f>
        <v>46241</v>
      </c>
      <c r="T509" s="87">
        <v>0</v>
      </c>
      <c r="U509" s="91" t="s">
        <v>105</v>
      </c>
      <c r="V509" s="92">
        <v>0</v>
      </c>
      <c r="W509" s="93" cm="1">
        <f t="array" ref="W509">WORKDAY(X509,-20)</f>
        <v>46357</v>
      </c>
      <c r="X509" s="80" t="s">
        <v>1102</v>
      </c>
      <c r="Y509" s="88">
        <v>0</v>
      </c>
      <c r="Z509" s="93">
        <v>46406</v>
      </c>
      <c r="AA509" s="90">
        <v>46448</v>
      </c>
      <c r="AB509" s="88">
        <v>0</v>
      </c>
      <c r="AC509" s="79" t="s">
        <v>49</v>
      </c>
      <c r="AD509" s="79" t="s">
        <v>49</v>
      </c>
      <c r="AE509" s="90"/>
      <c r="AF509" s="88">
        <v>0</v>
      </c>
      <c r="AG509" s="93" cm="1">
        <f t="array" ref="AG509">WORKDAY(AA509,2)</f>
        <v>46450</v>
      </c>
      <c r="AH509" s="90" cm="1">
        <f t="array" ref="AH509">WORKDAY(AG509,1)</f>
        <v>46451</v>
      </c>
      <c r="AI509" s="86" cm="1">
        <f t="array" ref="AI509">WORKDAY(AH509,1)</f>
        <v>46454</v>
      </c>
      <c r="AJ509" s="144"/>
      <c r="AK509" s="56"/>
    </row>
    <row r="510" spans="1:37" ht="25.5" customHeight="1">
      <c r="A510" s="140" cm="1">
        <f t="array" ref="A510">A509+1</f>
        <v>495</v>
      </c>
      <c r="B510" s="79" t="s">
        <v>1103</v>
      </c>
      <c r="C510" s="78">
        <v>4</v>
      </c>
      <c r="D510" s="79" t="s">
        <v>1104</v>
      </c>
      <c r="E510" s="79" t="s">
        <v>1105</v>
      </c>
      <c r="F510" s="79"/>
      <c r="G510" s="80" t="s">
        <v>984</v>
      </c>
      <c r="H510" s="81">
        <v>48588</v>
      </c>
      <c r="I510" s="82">
        <v>362</v>
      </c>
      <c r="J510" s="98"/>
      <c r="K510" s="100">
        <v>0.3</v>
      </c>
      <c r="L510" s="84">
        <v>46056</v>
      </c>
      <c r="M510" s="85">
        <v>46219</v>
      </c>
      <c r="N510" s="86" cm="1">
        <f t="array" ref="N510">WORKDAY(M510,10)</f>
        <v>46233</v>
      </c>
      <c r="O510" s="87">
        <v>0</v>
      </c>
      <c r="P510" s="88">
        <v>0</v>
      </c>
      <c r="Q510" s="89">
        <v>46196</v>
      </c>
      <c r="R510" s="96">
        <v>46227</v>
      </c>
      <c r="S510" s="86" cm="1">
        <f t="array" ref="S510">WORKDAY(R510,10)</f>
        <v>46241</v>
      </c>
      <c r="T510" s="87">
        <v>0</v>
      </c>
      <c r="U510" s="91" t="s">
        <v>105</v>
      </c>
      <c r="V510" s="92">
        <v>0</v>
      </c>
      <c r="W510" s="93" cm="1">
        <f t="array" ref="W510">WORKDAY(X510,-20)</f>
        <v>46357</v>
      </c>
      <c r="X510" s="80" t="s">
        <v>1102</v>
      </c>
      <c r="Y510" s="88">
        <v>0</v>
      </c>
      <c r="Z510" s="93">
        <v>46407</v>
      </c>
      <c r="AA510" s="90">
        <v>46449</v>
      </c>
      <c r="AB510" s="88">
        <v>0</v>
      </c>
      <c r="AC510" s="79" t="s">
        <v>49</v>
      </c>
      <c r="AD510" s="79" t="s">
        <v>49</v>
      </c>
      <c r="AE510" s="90"/>
      <c r="AF510" s="88">
        <v>0</v>
      </c>
      <c r="AG510" s="93" cm="1">
        <f t="array" ref="AG510">WORKDAY(AA510,2)</f>
        <v>46451</v>
      </c>
      <c r="AH510" s="90" cm="1">
        <f t="array" ref="AH510">WORKDAY(AG510,1)</f>
        <v>46454</v>
      </c>
      <c r="AI510" s="86" cm="1">
        <f t="array" ref="AI510">WORKDAY(AH510,1)</f>
        <v>46455</v>
      </c>
      <c r="AJ510" s="144"/>
      <c r="AK510" s="56"/>
    </row>
    <row r="511" spans="1:37" ht="25.5" customHeight="1">
      <c r="A511" s="140" cm="1">
        <f t="array" ref="A511">A510+1</f>
        <v>496</v>
      </c>
      <c r="B511" s="79" t="s">
        <v>1106</v>
      </c>
      <c r="C511" s="78">
        <v>4</v>
      </c>
      <c r="D511" s="79" t="s">
        <v>1107</v>
      </c>
      <c r="E511" s="79" t="s">
        <v>1108</v>
      </c>
      <c r="F511" s="79"/>
      <c r="G511" s="80" t="s">
        <v>984</v>
      </c>
      <c r="H511" s="81">
        <v>48588</v>
      </c>
      <c r="I511" s="82">
        <v>363</v>
      </c>
      <c r="J511" s="98"/>
      <c r="K511" s="100">
        <v>0.3</v>
      </c>
      <c r="L511" s="84">
        <v>46056</v>
      </c>
      <c r="M511" s="85">
        <v>46219</v>
      </c>
      <c r="N511" s="86" cm="1">
        <f t="array" ref="N511">WORKDAY(M511,10)</f>
        <v>46233</v>
      </c>
      <c r="O511" s="87">
        <v>0</v>
      </c>
      <c r="P511" s="88">
        <v>0</v>
      </c>
      <c r="Q511" s="89">
        <v>46196</v>
      </c>
      <c r="R511" s="96">
        <v>46227</v>
      </c>
      <c r="S511" s="86" cm="1">
        <f t="array" ref="S511">WORKDAY(R511,10)</f>
        <v>46241</v>
      </c>
      <c r="T511" s="87">
        <v>0</v>
      </c>
      <c r="U511" s="91" t="s">
        <v>105</v>
      </c>
      <c r="V511" s="92">
        <v>0</v>
      </c>
      <c r="W511" s="93" cm="1">
        <f t="array" ref="W511">WORKDAY(X511,-20)</f>
        <v>46358</v>
      </c>
      <c r="X511" s="80" t="s">
        <v>1109</v>
      </c>
      <c r="Y511" s="88">
        <v>0</v>
      </c>
      <c r="Z511" s="93">
        <v>46407</v>
      </c>
      <c r="AA511" s="90">
        <v>46449</v>
      </c>
      <c r="AB511" s="88">
        <v>0</v>
      </c>
      <c r="AC511" s="79" t="s">
        <v>49</v>
      </c>
      <c r="AD511" s="79" t="s">
        <v>49</v>
      </c>
      <c r="AE511" s="90"/>
      <c r="AF511" s="88">
        <v>0</v>
      </c>
      <c r="AG511" s="93" cm="1">
        <f t="array" ref="AG511">WORKDAY(AA511,2)</f>
        <v>46451</v>
      </c>
      <c r="AH511" s="90" cm="1">
        <f t="array" ref="AH511">WORKDAY(AG511,1)</f>
        <v>46454</v>
      </c>
      <c r="AI511" s="86" cm="1">
        <f t="array" ref="AI511">WORKDAY(AH511,1)</f>
        <v>46455</v>
      </c>
      <c r="AJ511" s="144"/>
      <c r="AK511" s="56"/>
    </row>
    <row r="512" spans="1:37" ht="25.5" customHeight="1">
      <c r="A512" s="140" cm="1">
        <f t="array" ref="A512">A511+1</f>
        <v>497</v>
      </c>
      <c r="B512" s="79" t="s">
        <v>1110</v>
      </c>
      <c r="C512" s="78">
        <v>4</v>
      </c>
      <c r="D512" s="79" t="s">
        <v>1111</v>
      </c>
      <c r="E512" s="79" t="s">
        <v>1112</v>
      </c>
      <c r="F512" s="79"/>
      <c r="G512" s="80" t="s">
        <v>1031</v>
      </c>
      <c r="H512" s="81">
        <v>45551</v>
      </c>
      <c r="I512" s="82">
        <v>364</v>
      </c>
      <c r="J512" s="98"/>
      <c r="K512" s="100">
        <v>0.3</v>
      </c>
      <c r="L512" s="84">
        <v>46056</v>
      </c>
      <c r="M512" s="85">
        <v>46219</v>
      </c>
      <c r="N512" s="86" cm="1">
        <f t="array" ref="N512">WORKDAY(M512,10)</f>
        <v>46233</v>
      </c>
      <c r="O512" s="87">
        <v>0</v>
      </c>
      <c r="P512" s="88">
        <v>0</v>
      </c>
      <c r="Q512" s="89">
        <v>46196</v>
      </c>
      <c r="R512" s="96">
        <v>46227</v>
      </c>
      <c r="S512" s="86" cm="1">
        <f t="array" ref="S512">WORKDAY(R512,10)</f>
        <v>46241</v>
      </c>
      <c r="T512" s="87">
        <v>0</v>
      </c>
      <c r="U512" s="91" t="s">
        <v>105</v>
      </c>
      <c r="V512" s="92">
        <v>0</v>
      </c>
      <c r="W512" s="93" cm="1">
        <f t="array" ref="W512">WORKDAY(X512,-20)</f>
        <v>46358</v>
      </c>
      <c r="X512" s="80" t="s">
        <v>1109</v>
      </c>
      <c r="Y512" s="88">
        <v>0</v>
      </c>
      <c r="Z512" s="93">
        <v>46408</v>
      </c>
      <c r="AA512" s="90">
        <v>46450</v>
      </c>
      <c r="AB512" s="88">
        <v>0</v>
      </c>
      <c r="AC512" s="79" t="s">
        <v>49</v>
      </c>
      <c r="AD512" s="79" t="s">
        <v>49</v>
      </c>
      <c r="AE512" s="90"/>
      <c r="AF512" s="88">
        <v>0</v>
      </c>
      <c r="AG512" s="93" cm="1">
        <f t="array" ref="AG512">WORKDAY(AA512,2)</f>
        <v>46454</v>
      </c>
      <c r="AH512" s="90" cm="1">
        <f t="array" ref="AH512">WORKDAY(AG512,1)</f>
        <v>46455</v>
      </c>
      <c r="AI512" s="86" cm="1">
        <f t="array" ref="AI512">WORKDAY(AH512,1)</f>
        <v>46456</v>
      </c>
      <c r="AJ512" s="144"/>
      <c r="AK512" s="56"/>
    </row>
    <row r="513" spans="1:55" ht="25.5" customHeight="1">
      <c r="A513" s="140" cm="1">
        <f t="array" ref="A513">A512+1</f>
        <v>498</v>
      </c>
      <c r="B513" s="79" t="s">
        <v>1113</v>
      </c>
      <c r="C513" s="78">
        <v>4</v>
      </c>
      <c r="D513" s="79" t="s">
        <v>1114</v>
      </c>
      <c r="E513" s="79" t="s">
        <v>1115</v>
      </c>
      <c r="F513" s="79"/>
      <c r="G513" s="80" t="s">
        <v>984</v>
      </c>
      <c r="H513" s="81">
        <v>63173</v>
      </c>
      <c r="I513" s="82">
        <v>365</v>
      </c>
      <c r="J513" s="98"/>
      <c r="K513" s="100">
        <v>0.3</v>
      </c>
      <c r="L513" s="84">
        <v>46056</v>
      </c>
      <c r="M513" s="85">
        <v>46219</v>
      </c>
      <c r="N513" s="86" cm="1">
        <f t="array" ref="N513">WORKDAY(M513,10)</f>
        <v>46233</v>
      </c>
      <c r="O513" s="87">
        <v>0</v>
      </c>
      <c r="P513" s="88">
        <v>0</v>
      </c>
      <c r="Q513" s="89">
        <v>46196</v>
      </c>
      <c r="R513" s="96">
        <v>46227</v>
      </c>
      <c r="S513" s="86" cm="1">
        <f t="array" ref="S513">WORKDAY(R513,10)</f>
        <v>46241</v>
      </c>
      <c r="T513" s="87">
        <v>0</v>
      </c>
      <c r="U513" s="91" t="s">
        <v>114</v>
      </c>
      <c r="V513" s="92">
        <v>0</v>
      </c>
      <c r="W513" s="93" cm="1">
        <f t="array" ref="W513">WORKDAY(X513,-20)</f>
        <v>46302</v>
      </c>
      <c r="X513" s="80" t="s">
        <v>868</v>
      </c>
      <c r="Y513" s="88">
        <v>0</v>
      </c>
      <c r="Z513" s="93">
        <v>46408</v>
      </c>
      <c r="AA513" s="90">
        <v>46450</v>
      </c>
      <c r="AB513" s="88">
        <v>0</v>
      </c>
      <c r="AC513" s="79" t="s">
        <v>49</v>
      </c>
      <c r="AD513" s="79" t="s">
        <v>49</v>
      </c>
      <c r="AE513" s="90"/>
      <c r="AF513" s="88">
        <v>0</v>
      </c>
      <c r="AG513" s="93" cm="1">
        <f t="array" ref="AG513">WORKDAY(AA513,2)</f>
        <v>46454</v>
      </c>
      <c r="AH513" s="90" cm="1">
        <f t="array" ref="AH513">WORKDAY(AG513,1)</f>
        <v>46455</v>
      </c>
      <c r="AI513" s="86" cm="1">
        <f t="array" ref="AI513">WORKDAY(AH513,1)</f>
        <v>46456</v>
      </c>
      <c r="AJ513" s="144"/>
      <c r="AK513" s="56"/>
    </row>
    <row r="514" spans="1:55" ht="26.1" customHeight="1" thickBot="1">
      <c r="A514" s="141" cm="1">
        <f t="array" ref="A514">A513+1</f>
        <v>499</v>
      </c>
      <c r="B514" s="113" t="s">
        <v>1116</v>
      </c>
      <c r="C514" s="152">
        <v>4</v>
      </c>
      <c r="D514" s="113" t="s">
        <v>1117</v>
      </c>
      <c r="E514" s="113" t="s">
        <v>1118</v>
      </c>
      <c r="F514" s="113"/>
      <c r="G514" s="114" t="s">
        <v>1031</v>
      </c>
      <c r="H514" s="115">
        <v>46807</v>
      </c>
      <c r="I514" s="146">
        <v>366</v>
      </c>
      <c r="J514" s="153"/>
      <c r="K514" s="116">
        <v>0.3</v>
      </c>
      <c r="L514" s="149">
        <v>46056</v>
      </c>
      <c r="M514" s="117">
        <v>46219</v>
      </c>
      <c r="N514" s="118" cm="1">
        <f t="array" ref="N514">WORKDAY(M514,10)</f>
        <v>46233</v>
      </c>
      <c r="O514" s="119">
        <v>0</v>
      </c>
      <c r="P514" s="120">
        <v>0</v>
      </c>
      <c r="Q514" s="121">
        <v>46196</v>
      </c>
      <c r="R514" s="122">
        <v>46227</v>
      </c>
      <c r="S514" s="118" cm="1">
        <f t="array" ref="S514">WORKDAY(R514,10)</f>
        <v>46241</v>
      </c>
      <c r="T514" s="119">
        <v>0</v>
      </c>
      <c r="U514" s="123" t="s">
        <v>114</v>
      </c>
      <c r="V514" s="124">
        <v>0</v>
      </c>
      <c r="W514" s="125" cm="1">
        <f t="array" ref="W514">WORKDAY(X514,-20)</f>
        <v>46303</v>
      </c>
      <c r="X514" s="114" t="s">
        <v>877</v>
      </c>
      <c r="Y514" s="120">
        <v>0</v>
      </c>
      <c r="Z514" s="125">
        <v>46409</v>
      </c>
      <c r="AA514" s="126">
        <v>46451</v>
      </c>
      <c r="AB514" s="120">
        <v>0</v>
      </c>
      <c r="AC514" s="113" t="s">
        <v>49</v>
      </c>
      <c r="AD514" s="113" t="s">
        <v>49</v>
      </c>
      <c r="AE514" s="126"/>
      <c r="AF514" s="120">
        <v>0</v>
      </c>
      <c r="AG514" s="125" cm="1">
        <f t="array" ref="AG514">WORKDAY(AA514,2)</f>
        <v>46455</v>
      </c>
      <c r="AH514" s="126" cm="1">
        <f t="array" ref="AH514">WORKDAY(AG514,1)</f>
        <v>46456</v>
      </c>
      <c r="AI514" s="118" cm="1">
        <f t="array" ref="AI514">WORKDAY(AH514,1)</f>
        <v>46457</v>
      </c>
      <c r="AJ514" s="151"/>
      <c r="AK514" s="56"/>
    </row>
    <row r="515" spans="1:55" ht="12.95" customHeight="1">
      <c r="S515" s="127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9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30"/>
      <c r="AX515" s="128"/>
      <c r="AY515" s="131"/>
      <c r="AZ515" s="128"/>
      <c r="BA515" s="128"/>
      <c r="BB515" s="128"/>
      <c r="BC515" s="132"/>
    </row>
  </sheetData>
  <mergeCells count="12">
    <mergeCell ref="A3:H3"/>
    <mergeCell ref="A1:H1"/>
    <mergeCell ref="A7:J7"/>
    <mergeCell ref="Y14:AA14"/>
    <mergeCell ref="U14:X14"/>
    <mergeCell ref="N14:O14"/>
    <mergeCell ref="S14:T14"/>
    <mergeCell ref="AF14:AH14"/>
    <mergeCell ref="AI14:AJ14"/>
    <mergeCell ref="AB14:AE14"/>
    <mergeCell ref="P14:R14"/>
    <mergeCell ref="K14:M14"/>
  </mergeCells>
  <phoneticPr fontId="16" type="noConversion"/>
  <pageMargins left="0.75" right="0.25" top="0" bottom="0" header="0.3" footer="0.3"/>
  <pageSetup scale="29" orientation="landscape"/>
  <headerFooter>
    <oddFooter>&amp;L&amp;"Helvetica Neue,Regular"&amp;9&amp;K000000West Manufacturing &amp;C&amp;"Helvetica Neue,Regular"&amp;9&amp;K000000&amp;P&amp;R&amp;"Helvetica Neue,Regular"&amp;9&amp;K000000Redefining Modular Construction</oddFooter>
  </headerFooter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252fca-570d-4b59-afd9-bf7c662adc22">
      <Terms xmlns="http://schemas.microsoft.com/office/infopath/2007/PartnerControls"/>
    </lcf76f155ced4ddcb4097134ff3c332f>
    <pb99933b1b6a4fecb6d2bd4d12304634 xmlns="d0252fca-570d-4b59-afd9-bf7c662adc22">
      <Terms xmlns="http://schemas.microsoft.com/office/infopath/2007/PartnerControls"/>
    </pb99933b1b6a4fecb6d2bd4d12304634>
    <TaxCatchAll xmlns="e64f8009-b427-4c94-a829-731fffcb6920" xsi:nil="true"/>
    <Image xmlns="d0252fca-570d-4b59-afd9-bf7c662adc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CF5DED2C8844BBC88F3B2D61E5657" ma:contentTypeVersion="18" ma:contentTypeDescription="Create a new document." ma:contentTypeScope="" ma:versionID="065d1150b5e56709550ac0a0eeb9455d">
  <xsd:schema xmlns:xsd="http://www.w3.org/2001/XMLSchema" xmlns:xs="http://www.w3.org/2001/XMLSchema" xmlns:p="http://schemas.microsoft.com/office/2006/metadata/properties" xmlns:ns2="d0252fca-570d-4b59-afd9-bf7c662adc22" xmlns:ns3="e64f8009-b427-4c94-a829-731fffcb6920" targetNamespace="http://schemas.microsoft.com/office/2006/metadata/properties" ma:root="true" ma:fieldsID="9b687a360882164fd3d0e5badf990897" ns2:_="" ns3:_="">
    <xsd:import namespace="d0252fca-570d-4b59-afd9-bf7c662adc22"/>
    <xsd:import namespace="e64f8009-b427-4c94-a829-731fffcb69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pb99933b1b6a4fecb6d2bd4d12304634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52fca-570d-4b59-afd9-bf7c662adc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170ec62-1a98-4c48-a0e2-ee8aa4a0e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b99933b1b6a4fecb6d2bd4d12304634" ma:index="24" nillable="true" ma:taxonomy="true" ma:internalName="pb99933b1b6a4fecb6d2bd4d12304634" ma:taxonomyFieldName="Meta" ma:displayName="Meta" ma:default="" ma:fieldId="{9b99933b-1b6a-4fec-b6d2-bd4d12304634}" ma:sspId="3170ec62-1a98-4c48-a0e2-ee8aa4a0e4f5" ma:termSetId="b49f64b3-4722-4336-9a5c-56c326b344d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mage" ma:index="25" nillable="true" ma:displayName="Image" ma:format="Thumbnail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8009-b427-4c94-a829-731fffcb692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069f08d-fa57-4ffe-a9f0-4614c2d96b43}" ma:internalName="TaxCatchAll" ma:showField="CatchAllData" ma:web="e64f8009-b427-4c94-a829-731fffcb69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9B370-CF9E-4902-ADD5-A5FBE586B271}">
  <ds:schemaRefs>
    <ds:schemaRef ds:uri="http://schemas.microsoft.com/office/2006/metadata/properties"/>
    <ds:schemaRef ds:uri="http://schemas.microsoft.com/office/infopath/2007/PartnerControls"/>
    <ds:schemaRef ds:uri="d0252fca-570d-4b59-afd9-bf7c662adc22"/>
    <ds:schemaRef ds:uri="e64f8009-b427-4c94-a829-731fffcb6920"/>
  </ds:schemaRefs>
</ds:datastoreItem>
</file>

<file path=customXml/itemProps2.xml><?xml version="1.0" encoding="utf-8"?>
<ds:datastoreItem xmlns:ds="http://schemas.openxmlformats.org/officeDocument/2006/customXml" ds:itemID="{BA9E22D8-F6D0-4667-BF06-9DFE466492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106E90-0F36-4037-921E-6DA319D6D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252fca-570d-4b59-afd9-bf7c662adc22"/>
    <ds:schemaRef ds:uri="e64f8009-b427-4c94-a829-731fffcb69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Log</vt:lpstr>
      <vt:lpstr>Rev 13, April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Roman</cp:lastModifiedBy>
  <dcterms:modified xsi:type="dcterms:W3CDTF">2026-04-24T17:04:44Z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0x010100199CF5DED2C8844BBC88F3B2D61E5657</vt:lpwstr>
  </property>
  <property fmtid="{D5CDD505-2E9C-101B-9397-08002B2CF9AE}" pid="3" name="MediaServiceImageTags">
    <vt:lpwstr/>
  </property>
  <property fmtid="{D5CDD505-2E9C-101B-9397-08002B2CF9AE}" pid="4" name="Meta">
    <vt:lpwstr/>
  </property>
</Properties>
</file>